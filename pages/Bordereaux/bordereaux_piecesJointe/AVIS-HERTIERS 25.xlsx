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G25" i="32"/>
  <c r="D29"/>
  <c r="F34" i="11" l="1"/>
  <c r="E2" i="32"/>
  <c r="H2" s="1"/>
  <c r="F35" i="11" l="1"/>
  <c r="F37" s="1"/>
  <c r="D25" i="32"/>
  <c r="F2"/>
  <c r="E25" l="1"/>
  <c r="F27"/>
  <c r="F25"/>
</calcChain>
</file>

<file path=xl/sharedStrings.xml><?xml version="1.0" encoding="utf-8"?>
<sst xmlns="http://schemas.openxmlformats.org/spreadsheetml/2006/main" count="75" uniqueCount="73">
  <si>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</si>
  <si>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</si>
  <si>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</si>
  <si>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</si>
  <si>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</si>
  <si>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</si>
  <si>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</si>
  <si>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</si>
  <si>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</si>
  <si>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</si>
  <si>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</si>
  <si>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</si>
  <si>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</si>
  <si>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</si>
  <si>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</si>
  <si>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</si>
  <si>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</si>
  <si>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</si>
  <si>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</si>
  <si>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</si>
  <si>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</si>
  <si>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</si>
  <si>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</si>
  <si>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</si>
  <si>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</si>
  <si>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</si>
  <si>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</si>
  <si>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</si>
  <si>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</si>
  <si>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</si>
  <si>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</si>
  <si>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</si>
  <si>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</si>
  <si>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</si>
  <si>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</si>
  <si>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</si>
  <si>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</si>
  <si>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</si>
  <si>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</si>
  <si>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</si>
  <si>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</si>
  <si>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</si>
  <si>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</si>
  <si>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</si>
  <si>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</si>
  <si>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</si>
  <si>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</si>
  <si>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</si>
  <si>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</si>
  <si>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</si>
  <si>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</si>
  <si>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</si>
  <si>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</si>
  <si>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</si>
  <si>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</si>
  <si>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</si>
  <si>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</si>
  <si>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</si>
  <si>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</si>
  <si>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2-Contrôle technique des installations DES RIA</t>
  </si>
  <si>
    <t>CONTRÔLE REGLEMENTAIRES DES INSTALLATIONS SUIVANTES A SAVOIRS:</t>
  </si>
  <si>
    <t>3-Contrôle technique des installations de détecion incendie</t>
  </si>
  <si>
    <t>4-Contrôle technique des installations electriques</t>
  </si>
  <si>
    <t>3500,000</t>
  </si>
  <si>
    <t>FACTURE 25/23</t>
  </si>
  <si>
    <t>STE LES HERIYTIERS VELLA AFRIC AUTO</t>
  </si>
  <si>
    <t>Z,I CHARGUIA1-TUNIS CARTHAGE</t>
  </si>
  <si>
    <t>0765640AAM000</t>
  </si>
  <si>
    <t xml:space="preserve">6-etablissement des etudes securités </t>
  </si>
  <si>
    <t>1-etablissement classée</t>
  </si>
  <si>
    <t>2-parc de stationnement -non classée</t>
  </si>
  <si>
    <t>ens</t>
  </si>
  <si>
    <t xml:space="preserve">                          Arrêtée la présente facture à la somme de QUATRE MILLE CENT SOIXANTE SIX DINARS et 0 millimes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</si>
</sst>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name val="Georgia"/>
      <family val="1"/>
    </font>
    <font>
      <b/>
      <sz val="14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/>
    <xf numFmtId="49" fontId="10" fillId="0" borderId="15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0" fontId="25" fillId="0" borderId="0" xfId="0" applyFont="1"/>
    <xf numFmtId="49" fontId="10" fillId="0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63" sqref="C63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5"/>
  <sheetViews>
    <sheetView showGridLines="0" tabSelected="1" topLeftCell="A22" workbookViewId="0">
      <selection activeCell="E30" sqref="E30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8.285156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6"/>
      <c r="D5" s="56"/>
      <c r="E5" s="56"/>
    </row>
    <row r="6" spans="1:6" ht="7.5" customHeight="1">
      <c r="A6" s="35"/>
      <c r="B6" s="35"/>
      <c r="C6" s="56"/>
      <c r="D6" s="56"/>
      <c r="E6" s="56"/>
    </row>
    <row r="7" spans="1:6">
      <c r="A7" s="35"/>
      <c r="B7" s="35"/>
      <c r="C7" s="56"/>
      <c r="D7" s="56"/>
      <c r="E7" s="56"/>
    </row>
    <row r="8" spans="1:6" s="1" customFormat="1" ht="57.75" customHeight="1">
      <c r="A8" s="67" t="s">
        <v>64</v>
      </c>
      <c r="B8" s="67"/>
      <c r="C8" s="67"/>
      <c r="D8" s="67"/>
      <c r="E8" s="67"/>
      <c r="F8" s="67"/>
    </row>
    <row r="9" spans="1:6" ht="24.75" customHeight="1">
      <c r="B9" s="2"/>
      <c r="C9" s="2"/>
      <c r="D9" s="2"/>
      <c r="E9" s="19" t="s">
        <v>9</v>
      </c>
      <c r="F9" s="9">
        <v>44998</v>
      </c>
    </row>
    <row r="10" spans="1:6" ht="15.75">
      <c r="B10" s="3"/>
      <c r="E10" s="20"/>
      <c r="F10" s="10"/>
    </row>
    <row r="11" spans="1:6" ht="16.5" customHeight="1">
      <c r="B11" s="3"/>
      <c r="E11" s="33" t="s">
        <v>8</v>
      </c>
      <c r="F11" s="51" t="s">
        <v>65</v>
      </c>
    </row>
    <row r="12" spans="1:6" ht="9.75" customHeight="1">
      <c r="B12" s="3"/>
      <c r="E12" s="19"/>
      <c r="F12" s="12"/>
    </row>
    <row r="13" spans="1:6" ht="18.75">
      <c r="B13" s="3"/>
      <c r="E13" s="33" t="s">
        <v>7</v>
      </c>
      <c r="F13" s="54" t="s">
        <v>66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 t="s">
        <v>67</v>
      </c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8" t="s">
        <v>0</v>
      </c>
      <c r="C19" s="69"/>
      <c r="D19" s="38" t="s">
        <v>55</v>
      </c>
      <c r="E19" s="40" t="s">
        <v>53</v>
      </c>
      <c r="F19" s="43" t="s">
        <v>54</v>
      </c>
    </row>
    <row r="20" spans="2:8" s="1" customFormat="1" ht="33" customHeight="1">
      <c r="B20" s="70" t="s">
        <v>60</v>
      </c>
      <c r="C20" s="71"/>
      <c r="D20" s="36"/>
      <c r="E20" s="41"/>
      <c r="F20" s="52"/>
    </row>
    <row r="21" spans="2:8" s="1" customFormat="1" ht="21.75" customHeight="1">
      <c r="B21" s="70" t="s">
        <v>59</v>
      </c>
      <c r="C21" s="71"/>
      <c r="D21" s="36"/>
      <c r="E21" s="41"/>
      <c r="F21" s="52"/>
    </row>
    <row r="22" spans="2:8" s="1" customFormat="1" ht="31.5" customHeight="1">
      <c r="B22" s="61" t="s">
        <v>61</v>
      </c>
      <c r="C22" s="62"/>
      <c r="D22" s="36"/>
      <c r="E22" s="41"/>
      <c r="F22" s="52"/>
    </row>
    <row r="23" spans="2:8" s="1" customFormat="1" ht="27.75" customHeight="1">
      <c r="B23" s="61" t="s">
        <v>62</v>
      </c>
      <c r="C23" s="62"/>
      <c r="D23" s="36"/>
      <c r="E23" s="41"/>
      <c r="F23" s="52"/>
      <c r="H23" s="8"/>
    </row>
    <row r="24" spans="2:8" s="1" customFormat="1" ht="27.75" customHeight="1">
      <c r="B24" s="63"/>
      <c r="C24" s="64"/>
      <c r="D24" s="36"/>
      <c r="E24" s="41"/>
      <c r="F24" s="55"/>
      <c r="H24" s="8"/>
    </row>
    <row r="25" spans="2:8" s="1" customFormat="1" ht="33.75" customHeight="1">
      <c r="B25" s="63"/>
      <c r="C25" s="64"/>
      <c r="D25" s="36"/>
      <c r="E25" s="41"/>
      <c r="F25" s="53"/>
    </row>
    <row r="26" spans="2:8" s="1" customFormat="1" ht="31.5" customHeight="1">
      <c r="B26" s="72" t="s">
        <v>68</v>
      </c>
      <c r="C26" s="73"/>
      <c r="D26" s="36"/>
      <c r="E26" s="41"/>
      <c r="F26" s="52"/>
    </row>
    <row r="27" spans="2:8" s="1" customFormat="1" ht="35.25" customHeight="1">
      <c r="B27" s="75" t="s">
        <v>69</v>
      </c>
      <c r="C27" s="76"/>
      <c r="D27" s="36"/>
      <c r="E27" s="41"/>
      <c r="F27" s="52"/>
    </row>
    <row r="28" spans="2:8" s="1" customFormat="1" ht="20.100000000000001" customHeight="1">
      <c r="B28" s="74" t="s">
        <v>70</v>
      </c>
      <c r="C28" s="65"/>
      <c r="D28" s="36" t="s">
        <v>71</v>
      </c>
      <c r="E28" s="41" t="s">
        <v>63</v>
      </c>
      <c r="F28" s="44">
        <v>3500</v>
      </c>
    </row>
    <row r="29" spans="2:8" s="1" customFormat="1" ht="20.100000000000001" customHeight="1">
      <c r="B29" s="66"/>
      <c r="C29" s="58"/>
      <c r="D29" s="36"/>
      <c r="E29" s="41"/>
      <c r="F29" s="44"/>
    </row>
    <row r="30" spans="2:8" s="1" customFormat="1" ht="20.100000000000001" customHeight="1">
      <c r="B30" s="57"/>
      <c r="C30" s="58"/>
      <c r="D30" s="36"/>
      <c r="E30" s="41"/>
      <c r="F30" s="44"/>
    </row>
    <row r="31" spans="2:8" s="1" customFormat="1" ht="20.100000000000001" customHeight="1">
      <c r="B31" s="59"/>
      <c r="C31" s="60"/>
      <c r="D31" s="39"/>
      <c r="E31" s="42"/>
      <c r="F31" s="45"/>
    </row>
    <row r="32" spans="2:8" s="1" customFormat="1" ht="20.100000000000001" customHeight="1">
      <c r="B32" s="7"/>
      <c r="C32" s="6"/>
      <c r="D32" s="6"/>
      <c r="E32" s="15" t="s">
        <v>5</v>
      </c>
      <c r="F32" s="46">
        <v>3500</v>
      </c>
    </row>
    <row r="33" spans="1:9" s="1" customFormat="1" ht="20.100000000000001" customHeight="1">
      <c r="B33" s="7"/>
      <c r="C33" s="6"/>
      <c r="D33" s="6"/>
      <c r="E33" s="15" t="s">
        <v>1</v>
      </c>
      <c r="F33" s="47">
        <v>0.19</v>
      </c>
    </row>
    <row r="34" spans="1:9" s="1" customFormat="1" ht="20.100000000000001" customHeight="1">
      <c r="B34" s="7"/>
      <c r="C34" s="6"/>
      <c r="D34" s="6"/>
      <c r="E34" s="15" t="s">
        <v>2</v>
      </c>
      <c r="F34" s="46">
        <f>+F32*F33</f>
        <v>665</v>
      </c>
    </row>
    <row r="35" spans="1:9" s="1" customFormat="1" ht="20.100000000000001" customHeight="1">
      <c r="B35" s="7"/>
      <c r="C35" s="6"/>
      <c r="D35" s="6"/>
      <c r="E35" s="15" t="s">
        <v>3</v>
      </c>
      <c r="F35" s="48">
        <f>+F34+F32</f>
        <v>4165</v>
      </c>
    </row>
    <row r="36" spans="1:9" s="1" customFormat="1" ht="20.100000000000001" customHeight="1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>
      <c r="B37"/>
      <c r="C37"/>
      <c r="D37"/>
      <c r="E37" s="15" t="s">
        <v>19</v>
      </c>
      <c r="F37" s="49">
        <f>F35+F36</f>
        <v>4166</v>
      </c>
    </row>
    <row r="38" spans="1:9" s="1" customFormat="1" ht="20.100000000000001" customHeight="1">
      <c r="B38"/>
      <c r="C38"/>
      <c r="D38"/>
      <c r="E38" s="15"/>
      <c r="F38" s="15"/>
    </row>
    <row r="39" spans="1:9" s="1" customFormat="1" ht="32.25" customHeight="1">
      <c r="A39" s="16" t="s">
        <v>72</v>
      </c>
      <c r="B39" s="11"/>
      <c r="C39" s="11"/>
      <c r="D39" s="11"/>
      <c r="E39" s="37"/>
      <c r="F39" s="37"/>
    </row>
    <row r="45" spans="1:9">
      <c r="I45" s="18"/>
    </row>
    <row r="52" spans="2:6" ht="21" customHeight="1">
      <c r="B52" s="50" t="s">
        <v>57</v>
      </c>
      <c r="E52" s="14"/>
      <c r="F52" s="13"/>
    </row>
    <row r="53" spans="2:6" ht="21" customHeight="1">
      <c r="B53" s="50" t="s">
        <v>58</v>
      </c>
      <c r="E53" s="14"/>
      <c r="F53" s="13"/>
    </row>
    <row r="54" spans="2:6" ht="21" customHeight="1">
      <c r="E54" s="14"/>
      <c r="F54" s="13"/>
    </row>
    <row r="55" spans="2:6" ht="21" customHeight="1">
      <c r="E55" s="14"/>
      <c r="F55" s="13"/>
    </row>
  </sheetData>
  <mergeCells count="14">
    <mergeCell ref="C5:E7"/>
    <mergeCell ref="B30:C30"/>
    <mergeCell ref="B31:C31"/>
    <mergeCell ref="B23:C23"/>
    <mergeCell ref="B22:C22"/>
    <mergeCell ref="B25:C25"/>
    <mergeCell ref="B28:C28"/>
    <mergeCell ref="B29:C29"/>
    <mergeCell ref="A8:F8"/>
    <mergeCell ref="B19:C19"/>
    <mergeCell ref="B20:C20"/>
    <mergeCell ref="B21:C21"/>
    <mergeCell ref="B24:C24"/>
    <mergeCell ref="B26:C26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2023-03-13T12:00:50Z</cp:lastPrinted>
  <dcterms:created xsi:type="dcterms:W3CDTF">2000-07-27T22:20:36Z</dcterms:created>
  <dcterms:modified xsi:type="dcterms:W3CDTF">2023-03-13T12:06:46Z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