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<sst xmlns="http://schemas.openxmlformats.org/spreadsheetml/2006/main" count="68" uniqueCount="66">
  <si>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</si>
  <si>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</si>
  <si>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</si>
  <si>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</si>
  <si>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</si>
  <si>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</si>
  <si>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</si>
  <si>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</si>
  <si>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</si>
  <si>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</si>
  <si>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</si>
  <si>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</si>
  <si>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</si>
  <si>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</si>
  <si>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</si>
  <si>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</si>
  <si>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</si>
  <si>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</si>
  <si>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</si>
  <si>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</si>
  <si>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</si>
  <si>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</si>
  <si>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</si>
  <si>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</si>
  <si>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</si>
  <si>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</si>
  <si>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</si>
  <si>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</si>
  <si>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</si>
  <si>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</si>
  <si>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</si>
  <si>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</si>
  <si>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</si>
  <si>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</si>
  <si>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</si>
  <si>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</si>
  <si>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</si>
  <si>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</si>
  <si>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</si>
  <si>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</si>
  <si>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</si>
  <si>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</si>
  <si>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</si>
  <si>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</si>
  <si>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</si>
  <si>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</si>
  <si>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</si>
  <si>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</si>
  <si>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</si>
  <si>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</si>
  <si>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</si>
  <si>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</si>
  <si>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</si>
  <si>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</si>
  <si>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</si>
  <si>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</si>
  <si>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</si>
  <si>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</si>
  <si>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</si>
  <si>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FACTURE 38/23</t>
  </si>
  <si>
    <t>FONDATION UNIVERSITAIRE  BOUEBDELLI 
B4</t>
  </si>
  <si>
    <t>AV KHEIREDDINE</t>
  </si>
  <si>
    <t>PACHA - TUNIS</t>
  </si>
  <si>
    <t>RECEPTION APRES INSTALLATION DE LA PARTIE ELECTRIQUE INSTALLEE AU BATIMENT B4 AVENUE KHEIREDDINE PACHA</t>
  </si>
  <si>
    <t>1100,000</t>
  </si>
  <si>
    <t xml:space="preserve">                     Arrêtée la présente facture à la somme de : MILLE TROIS CENT DIX DINARS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</si>
</sst>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u/>
      <sz val="10"/>
      <name val="Arial"/>
      <family val="2"/>
    </font>
    <font>
      <b/>
      <i/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 style="thin">
        <color indexed="22"/>
      </bottom>
      <diagonal/>
    </border>
    <border>
      <left/>
      <right style="thin">
        <color indexed="64"/>
      </right>
      <top style="thin">
        <color indexed="55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55"/>
      </bottom>
      <diagonal/>
    </border>
    <border>
      <left/>
      <right style="thin">
        <color indexed="64"/>
      </right>
      <top/>
      <bottom style="thin">
        <color indexed="55"/>
      </bottom>
      <diagonal/>
    </border>
  </borders>
  <cellStyleXfs count="4">
    <xf numFmtId="0" fontId="0" fillId="0" borderId="0"/>
    <xf numFmtId="9" fontId="1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3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3" fillId="0" borderId="0" xfId="0" applyFont="1" applyAlignment="1">
      <alignment horizontal="right" vertical="center"/>
    </xf>
    <xf numFmtId="167" fontId="0" fillId="0" borderId="0" xfId="0" applyNumberFormat="1"/>
    <xf numFmtId="0" fontId="17" fillId="0" borderId="1" xfId="0" applyFont="1" applyBorder="1"/>
    <xf numFmtId="167" fontId="17" fillId="0" borderId="1" xfId="0" applyNumberFormat="1" applyFont="1" applyBorder="1"/>
    <xf numFmtId="166" fontId="18" fillId="0" borderId="1" xfId="0" applyNumberFormat="1" applyFont="1" applyBorder="1"/>
    <xf numFmtId="0" fontId="19" fillId="4" borderId="1" xfId="0" applyFont="1" applyFill="1" applyBorder="1"/>
    <xf numFmtId="166" fontId="19" fillId="4" borderId="1" xfId="0" applyNumberFormat="1" applyFont="1" applyFill="1" applyBorder="1"/>
    <xf numFmtId="166" fontId="20" fillId="4" borderId="1" xfId="0" applyNumberFormat="1" applyFont="1" applyFill="1" applyBorder="1"/>
    <xf numFmtId="9" fontId="19" fillId="4" borderId="1" xfId="1" applyFont="1" applyFill="1" applyBorder="1"/>
    <xf numFmtId="166" fontId="18" fillId="0" borderId="1" xfId="0" applyNumberFormat="1" applyFont="1" applyFill="1" applyBorder="1"/>
    <xf numFmtId="0" fontId="18" fillId="0" borderId="1" xfId="0" applyFont="1" applyFill="1" applyBorder="1"/>
    <xf numFmtId="167" fontId="18" fillId="0" borderId="1" xfId="0" applyNumberFormat="1" applyFont="1" applyFill="1" applyBorder="1"/>
    <xf numFmtId="0" fontId="13" fillId="0" borderId="0" xfId="0" applyFont="1" applyAlignment="1">
      <alignment horizontal="right" vertical="top"/>
    </xf>
    <xf numFmtId="17" fontId="18" fillId="0" borderId="1" xfId="0" applyNumberFormat="1" applyFont="1" applyFill="1" applyBorder="1"/>
    <xf numFmtId="0" fontId="15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10" fillId="0" borderId="6" xfId="0" applyFont="1" applyFill="1" applyBorder="1" applyAlignment="1">
      <alignment horizontal="left" vertical="center"/>
    </xf>
    <xf numFmtId="49" fontId="10" fillId="0" borderId="9" xfId="0" applyNumberFormat="1" applyFont="1" applyFill="1" applyBorder="1" applyAlignment="1">
      <alignment horizontal="center" vertical="center"/>
    </xf>
    <xf numFmtId="49" fontId="10" fillId="0" borderId="10" xfId="0" applyNumberFormat="1" applyFont="1" applyFill="1" applyBorder="1" applyAlignment="1">
      <alignment horizontal="center" vertical="center"/>
    </xf>
    <xf numFmtId="166" fontId="10" fillId="0" borderId="11" xfId="0" applyNumberFormat="1" applyFont="1" applyFill="1" applyBorder="1" applyAlignment="1">
      <alignment horizontal="right" vertical="center"/>
    </xf>
    <xf numFmtId="166" fontId="10" fillId="0" borderId="12" xfId="0" applyNumberFormat="1" applyFont="1" applyFill="1" applyBorder="1" applyAlignment="1">
      <alignment horizontal="right" vertical="center"/>
    </xf>
    <xf numFmtId="166" fontId="10" fillId="2" borderId="11" xfId="0" applyNumberFormat="1" applyFont="1" applyFill="1" applyBorder="1" applyAlignment="1">
      <alignment horizontal="right" vertical="center"/>
    </xf>
    <xf numFmtId="9" fontId="10" fillId="0" borderId="11" xfId="0" applyNumberFormat="1" applyFont="1" applyBorder="1" applyAlignment="1">
      <alignment horizontal="right" vertical="center"/>
    </xf>
    <xf numFmtId="166" fontId="10" fillId="0" borderId="11" xfId="0" applyNumberFormat="1" applyFont="1" applyBorder="1" applyAlignment="1">
      <alignment horizontal="right" vertical="center"/>
    </xf>
    <xf numFmtId="166" fontId="10" fillId="3" borderId="12" xfId="0" applyNumberFormat="1" applyFont="1" applyFill="1" applyBorder="1" applyAlignment="1">
      <alignment horizontal="right" vertical="center"/>
    </xf>
    <xf numFmtId="0" fontId="22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3" fillId="0" borderId="0" xfId="0" applyNumberFormat="1" applyFont="1" applyAlignment="1">
      <alignment horizontal="left"/>
    </xf>
    <xf numFmtId="0" fontId="21" fillId="2" borderId="19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166" fontId="10" fillId="0" borderId="1" xfId="0" applyNumberFormat="1" applyFont="1" applyFill="1" applyBorder="1" applyAlignment="1">
      <alignment horizontal="right" vertical="center"/>
    </xf>
    <xf numFmtId="0" fontId="25" fillId="0" borderId="0" xfId="0" applyFont="1" applyAlignment="1"/>
    <xf numFmtId="0" fontId="0" fillId="0" borderId="0" xfId="0" applyAlignment="1">
      <alignment horizontal="center"/>
    </xf>
    <xf numFmtId="0" fontId="5" fillId="0" borderId="4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left" vertical="center"/>
    </xf>
    <xf numFmtId="0" fontId="1" fillId="0" borderId="13" xfId="0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left" vertical="center" wrapText="1"/>
    </xf>
    <xf numFmtId="0" fontId="1" fillId="0" borderId="15" xfId="0" applyFont="1" applyFill="1" applyBorder="1" applyAlignment="1">
      <alignment horizontal="left" vertical="center" wrapText="1"/>
    </xf>
    <xf numFmtId="0" fontId="1" fillId="0" borderId="16" xfId="0" applyFont="1" applyFill="1" applyBorder="1" applyAlignment="1">
      <alignment horizontal="left" vertical="center" wrapText="1"/>
    </xf>
    <xf numFmtId="0" fontId="1" fillId="0" borderId="21" xfId="0" applyFont="1" applyFill="1" applyBorder="1" applyAlignment="1">
      <alignment horizontal="left" vertical="center" wrapText="1"/>
    </xf>
    <xf numFmtId="0" fontId="1" fillId="0" borderId="22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left" vertical="center" wrapText="1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1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2" t="s">
        <v>10</v>
      </c>
      <c r="B1" s="23" t="s">
        <v>11</v>
      </c>
      <c r="C1" s="22" t="s">
        <v>12</v>
      </c>
      <c r="D1" s="22" t="s">
        <v>13</v>
      </c>
      <c r="E1" s="22" t="s">
        <v>14</v>
      </c>
      <c r="F1" s="22" t="s">
        <v>15</v>
      </c>
      <c r="G1" s="22" t="s">
        <v>16</v>
      </c>
      <c r="H1" s="22" t="s">
        <v>20</v>
      </c>
    </row>
    <row r="2" spans="1:8" ht="13.5" x14ac:dyDescent="0.25">
      <c r="A2" s="33" t="s">
        <v>22</v>
      </c>
      <c r="B2" s="31">
        <v>43838</v>
      </c>
      <c r="C2" s="30" t="s">
        <v>21</v>
      </c>
      <c r="D2" s="29"/>
      <c r="E2" s="29">
        <f>+D2*13%</f>
        <v>0</v>
      </c>
      <c r="F2" s="29">
        <f>+(D2+E2)*5%</f>
        <v>0</v>
      </c>
      <c r="G2" s="29">
        <v>1</v>
      </c>
      <c r="H2" s="29">
        <f>+D2+E2+0.5</f>
        <v>0.5</v>
      </c>
    </row>
    <row r="3" spans="1:8" ht="13.5" x14ac:dyDescent="0.25">
      <c r="A3" s="33" t="s">
        <v>23</v>
      </c>
      <c r="B3" s="31">
        <v>43847</v>
      </c>
      <c r="C3" s="30" t="s">
        <v>24</v>
      </c>
      <c r="D3" s="29"/>
      <c r="E3" s="29"/>
      <c r="F3" s="29"/>
      <c r="G3" s="29"/>
      <c r="H3" s="29"/>
    </row>
    <row r="4" spans="1:8" ht="13.5" x14ac:dyDescent="0.25">
      <c r="A4" s="33" t="s">
        <v>25</v>
      </c>
      <c r="B4" s="31">
        <v>43853</v>
      </c>
      <c r="C4" s="30" t="s">
        <v>26</v>
      </c>
      <c r="D4" s="29"/>
      <c r="E4" s="29"/>
      <c r="F4" s="29"/>
      <c r="G4" s="29"/>
      <c r="H4" s="29"/>
    </row>
    <row r="5" spans="1:8" ht="13.5" x14ac:dyDescent="0.25">
      <c r="A5" s="33" t="s">
        <v>27</v>
      </c>
      <c r="B5" s="31">
        <v>43859</v>
      </c>
      <c r="C5" s="30" t="s">
        <v>28</v>
      </c>
      <c r="D5" s="29"/>
      <c r="E5" s="29"/>
      <c r="F5" s="29"/>
      <c r="G5" s="29"/>
      <c r="H5" s="29"/>
    </row>
    <row r="6" spans="1:8" ht="13.5" hidden="1" x14ac:dyDescent="0.25">
      <c r="A6" s="33" t="s">
        <v>29</v>
      </c>
      <c r="B6" s="31">
        <v>30</v>
      </c>
      <c r="C6" s="30"/>
      <c r="D6" s="29"/>
      <c r="E6" s="29"/>
      <c r="F6" s="29"/>
      <c r="G6" s="29"/>
      <c r="H6" s="29"/>
    </row>
    <row r="7" spans="1:8" ht="13.5" x14ac:dyDescent="0.25">
      <c r="A7" s="33" t="s">
        <v>29</v>
      </c>
      <c r="B7" s="31">
        <v>43860</v>
      </c>
      <c r="C7" s="30" t="s">
        <v>47</v>
      </c>
      <c r="D7" s="29"/>
      <c r="E7" s="29"/>
      <c r="F7" s="29"/>
      <c r="G7" s="29"/>
      <c r="H7" s="29"/>
    </row>
    <row r="8" spans="1:8" ht="13.5" x14ac:dyDescent="0.25">
      <c r="A8" s="33" t="s">
        <v>30</v>
      </c>
      <c r="B8" s="31">
        <v>43871</v>
      </c>
      <c r="C8" s="30" t="s">
        <v>47</v>
      </c>
      <c r="D8" s="29"/>
      <c r="E8" s="29"/>
      <c r="F8" s="29"/>
      <c r="G8" s="29"/>
      <c r="H8" s="29"/>
    </row>
    <row r="9" spans="1:8" ht="13.5" hidden="1" x14ac:dyDescent="0.25">
      <c r="A9" s="33" t="s">
        <v>31</v>
      </c>
      <c r="B9" s="31">
        <v>10</v>
      </c>
      <c r="C9" s="30"/>
      <c r="D9" s="29"/>
      <c r="E9" s="29"/>
      <c r="F9" s="29"/>
      <c r="G9" s="29"/>
      <c r="H9" s="29"/>
    </row>
    <row r="10" spans="1:8" ht="13.5" x14ac:dyDescent="0.25">
      <c r="A10" s="33" t="s">
        <v>32</v>
      </c>
      <c r="B10" s="31">
        <v>43872</v>
      </c>
      <c r="C10" s="30" t="s">
        <v>48</v>
      </c>
      <c r="D10" s="29"/>
      <c r="E10" s="29"/>
      <c r="F10" s="29"/>
      <c r="G10" s="29"/>
      <c r="H10" s="29"/>
    </row>
    <row r="11" spans="1:8" ht="13.5" x14ac:dyDescent="0.25">
      <c r="A11" s="33" t="s">
        <v>33</v>
      </c>
      <c r="B11" s="31">
        <v>43872</v>
      </c>
      <c r="C11" s="30" t="s">
        <v>49</v>
      </c>
      <c r="D11" s="29"/>
      <c r="E11" s="29"/>
      <c r="F11" s="29"/>
      <c r="G11" s="29"/>
      <c r="H11" s="29"/>
    </row>
    <row r="12" spans="1:8" ht="13.5" x14ac:dyDescent="0.25">
      <c r="A12" s="33" t="s">
        <v>34</v>
      </c>
      <c r="B12" s="31">
        <v>43875</v>
      </c>
      <c r="C12" s="30" t="s">
        <v>50</v>
      </c>
      <c r="D12" s="29"/>
      <c r="E12" s="29"/>
      <c r="F12" s="29"/>
      <c r="G12" s="29"/>
      <c r="H12" s="29"/>
    </row>
    <row r="13" spans="1:8" ht="13.5" x14ac:dyDescent="0.25">
      <c r="A13" s="33" t="s">
        <v>35</v>
      </c>
      <c r="B13" s="31">
        <v>43875</v>
      </c>
      <c r="C13" s="30" t="s">
        <v>51</v>
      </c>
      <c r="D13" s="29"/>
      <c r="E13" s="29"/>
      <c r="F13" s="29"/>
      <c r="G13" s="24"/>
      <c r="H13" s="29"/>
    </row>
    <row r="14" spans="1:8" ht="13.5" x14ac:dyDescent="0.25">
      <c r="A14" s="33" t="s">
        <v>36</v>
      </c>
      <c r="B14" s="31">
        <v>43879</v>
      </c>
      <c r="C14" s="30" t="s">
        <v>52</v>
      </c>
      <c r="D14" s="29"/>
      <c r="E14" s="29"/>
      <c r="F14" s="29"/>
      <c r="G14" s="24"/>
      <c r="H14" s="29"/>
    </row>
    <row r="15" spans="1:8" ht="13.5" x14ac:dyDescent="0.25">
      <c r="A15" s="33" t="s">
        <v>37</v>
      </c>
      <c r="B15" s="31"/>
      <c r="C15" s="30"/>
      <c r="D15" s="29"/>
      <c r="E15" s="29"/>
      <c r="F15" s="29"/>
      <c r="G15" s="24"/>
      <c r="H15" s="29"/>
    </row>
    <row r="16" spans="1:8" ht="13.5" x14ac:dyDescent="0.25">
      <c r="A16" s="33" t="s">
        <v>38</v>
      </c>
      <c r="B16" s="31"/>
      <c r="C16" s="30"/>
      <c r="D16" s="29"/>
      <c r="E16" s="29"/>
      <c r="F16" s="29"/>
      <c r="G16" s="24"/>
      <c r="H16" s="29"/>
    </row>
    <row r="17" spans="1:8" ht="13.5" x14ac:dyDescent="0.25">
      <c r="A17" s="33" t="s">
        <v>39</v>
      </c>
      <c r="B17" s="31"/>
      <c r="C17" s="30"/>
      <c r="D17" s="29"/>
      <c r="E17" s="29"/>
      <c r="F17" s="29"/>
      <c r="G17" s="24"/>
      <c r="H17" s="29"/>
    </row>
    <row r="18" spans="1:8" ht="13.5" x14ac:dyDescent="0.25">
      <c r="A18" s="33" t="s">
        <v>40</v>
      </c>
      <c r="B18" s="31"/>
      <c r="C18" s="30"/>
      <c r="D18" s="29"/>
      <c r="E18" s="29"/>
      <c r="F18" s="29"/>
      <c r="G18" s="24"/>
      <c r="H18" s="29"/>
    </row>
    <row r="19" spans="1:8" ht="13.5" x14ac:dyDescent="0.25">
      <c r="A19" s="33" t="s">
        <v>41</v>
      </c>
      <c r="B19" s="31"/>
      <c r="C19" s="30"/>
      <c r="D19" s="29"/>
      <c r="E19" s="29"/>
      <c r="F19" s="29"/>
      <c r="G19" s="24"/>
      <c r="H19" s="29"/>
    </row>
    <row r="20" spans="1:8" ht="13.5" x14ac:dyDescent="0.25">
      <c r="A20" s="33" t="s">
        <v>42</v>
      </c>
      <c r="B20" s="31"/>
      <c r="C20" s="30"/>
      <c r="D20" s="29"/>
      <c r="E20" s="29"/>
      <c r="F20" s="29"/>
      <c r="G20" s="24"/>
      <c r="H20" s="29"/>
    </row>
    <row r="21" spans="1:8" ht="13.5" x14ac:dyDescent="0.25">
      <c r="A21" s="33" t="s">
        <v>43</v>
      </c>
      <c r="B21" s="31"/>
      <c r="C21" s="30"/>
      <c r="D21" s="29"/>
      <c r="E21" s="29"/>
      <c r="F21" s="29"/>
      <c r="G21" s="24"/>
      <c r="H21" s="29"/>
    </row>
    <row r="22" spans="1:8" ht="13.5" x14ac:dyDescent="0.25">
      <c r="A22" s="33" t="s">
        <v>44</v>
      </c>
      <c r="B22" s="31"/>
      <c r="C22" s="30"/>
      <c r="D22" s="29"/>
      <c r="E22" s="29"/>
      <c r="F22" s="29"/>
      <c r="G22" s="29"/>
      <c r="H22" s="29"/>
    </row>
    <row r="23" spans="1:8" ht="13.5" x14ac:dyDescent="0.25">
      <c r="A23" s="33" t="s">
        <v>45</v>
      </c>
      <c r="B23" s="31"/>
      <c r="C23" s="30"/>
      <c r="D23" s="29"/>
      <c r="E23" s="29"/>
      <c r="F23" s="29"/>
      <c r="G23" s="29"/>
      <c r="H23" s="29"/>
    </row>
    <row r="24" spans="1:8" ht="13.5" x14ac:dyDescent="0.25">
      <c r="A24" s="33" t="s">
        <v>46</v>
      </c>
      <c r="B24" s="31"/>
      <c r="C24" s="30"/>
      <c r="D24" s="29"/>
      <c r="E24" s="29"/>
      <c r="F24" s="29"/>
      <c r="G24" s="24"/>
      <c r="H24" s="29"/>
    </row>
    <row r="25" spans="1:8" ht="15" x14ac:dyDescent="0.3">
      <c r="A25" s="25"/>
      <c r="B25" s="25"/>
      <c r="C25" s="25"/>
      <c r="D25" s="26">
        <f>SUM(D2:D24)</f>
        <v>0</v>
      </c>
      <c r="E25" s="26">
        <f>SUM(E2:E24)</f>
        <v>0</v>
      </c>
      <c r="F25" s="26">
        <f>SUM(F2:F24)</f>
        <v>0</v>
      </c>
      <c r="G25" s="26">
        <f>SUM(G2:G24)</f>
        <v>1</v>
      </c>
      <c r="H25" s="26"/>
    </row>
    <row r="26" spans="1:8" x14ac:dyDescent="0.2">
      <c r="D26" s="17"/>
    </row>
    <row r="27" spans="1:8" ht="15" x14ac:dyDescent="0.3">
      <c r="A27" s="25"/>
      <c r="B27" s="25"/>
      <c r="C27" s="25" t="s">
        <v>17</v>
      </c>
      <c r="D27" s="26"/>
      <c r="E27" s="26"/>
      <c r="F27" s="28" t="e">
        <f>(E27)/D25</f>
        <v>#DIV/0!</v>
      </c>
      <c r="G27" s="26"/>
      <c r="H27" s="26"/>
    </row>
    <row r="29" spans="1:8" ht="15" x14ac:dyDescent="0.3">
      <c r="A29" s="25"/>
      <c r="B29" s="25"/>
      <c r="C29" s="25" t="s">
        <v>18</v>
      </c>
      <c r="D29" s="26">
        <f>150+90+75</f>
        <v>315</v>
      </c>
      <c r="E29" s="26"/>
      <c r="F29" s="26"/>
      <c r="G29" s="27"/>
      <c r="H29" s="27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workbookViewId="0">
      <selection activeCell="C34" sqref="C34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4"/>
      <c r="B3" s="34"/>
    </row>
    <row r="4" spans="1:6" x14ac:dyDescent="0.2">
      <c r="A4" s="34"/>
      <c r="B4" s="34"/>
    </row>
    <row r="5" spans="1:6" x14ac:dyDescent="0.2">
      <c r="A5" s="34"/>
      <c r="B5" s="34"/>
      <c r="C5" s="57"/>
      <c r="D5" s="57"/>
      <c r="E5" s="57"/>
    </row>
    <row r="6" spans="1:6" ht="7.5" customHeight="1" x14ac:dyDescent="0.2">
      <c r="A6" s="34"/>
      <c r="B6" s="34"/>
      <c r="C6" s="57"/>
      <c r="D6" s="57"/>
      <c r="E6" s="57"/>
    </row>
    <row r="7" spans="1:6" x14ac:dyDescent="0.2">
      <c r="A7" s="34"/>
      <c r="B7" s="34"/>
      <c r="C7" s="57"/>
      <c r="D7" s="57"/>
      <c r="E7" s="57"/>
    </row>
    <row r="8" spans="1:6" s="1" customFormat="1" ht="57.75" customHeight="1" x14ac:dyDescent="0.2">
      <c r="A8" s="68" t="s">
        <v>59</v>
      </c>
      <c r="B8" s="68"/>
      <c r="C8" s="68"/>
      <c r="D8" s="68"/>
      <c r="E8" s="68"/>
      <c r="F8" s="68"/>
    </row>
    <row r="9" spans="1:6" ht="24.75" customHeight="1" x14ac:dyDescent="0.4">
      <c r="B9" s="2"/>
      <c r="C9" s="2"/>
      <c r="D9" s="2"/>
      <c r="E9" s="18" t="s">
        <v>9</v>
      </c>
      <c r="F9" s="9">
        <v>45049</v>
      </c>
    </row>
    <row r="10" spans="1:6" ht="15.75" x14ac:dyDescent="0.25">
      <c r="B10" s="3"/>
      <c r="E10" s="19"/>
      <c r="F10" s="10"/>
    </row>
    <row r="11" spans="1:6" ht="58.5" customHeight="1" x14ac:dyDescent="0.2">
      <c r="B11" s="3"/>
      <c r="E11" s="32" t="s">
        <v>8</v>
      </c>
      <c r="F11" s="47" t="s">
        <v>60</v>
      </c>
    </row>
    <row r="12" spans="1:6" ht="7.5" customHeight="1" x14ac:dyDescent="0.25">
      <c r="B12" s="3"/>
      <c r="E12" s="18"/>
      <c r="F12" s="12"/>
    </row>
    <row r="13" spans="1:6" ht="16.5" customHeight="1" x14ac:dyDescent="0.25">
      <c r="B13" s="3"/>
      <c r="E13" s="32" t="s">
        <v>7</v>
      </c>
      <c r="F13" s="16" t="s">
        <v>61</v>
      </c>
    </row>
    <row r="14" spans="1:6" ht="13.5" customHeight="1" x14ac:dyDescent="0.25">
      <c r="B14" s="3"/>
      <c r="E14" s="20"/>
      <c r="F14" s="16" t="s">
        <v>62</v>
      </c>
    </row>
    <row r="15" spans="1:6" ht="18" customHeight="1" x14ac:dyDescent="0.25">
      <c r="B15" s="3"/>
      <c r="E15" s="18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8" t="s">
        <v>58</v>
      </c>
      <c r="F17" s="49"/>
    </row>
    <row r="18" spans="2:8" ht="12.75" customHeight="1" x14ac:dyDescent="0.25">
      <c r="B18" s="5"/>
      <c r="C18" s="5"/>
      <c r="D18" s="5"/>
      <c r="E18" s="18"/>
      <c r="F18" s="5"/>
    </row>
    <row r="19" spans="2:8" s="1" customFormat="1" ht="20.100000000000001" customHeight="1" x14ac:dyDescent="0.2">
      <c r="B19" s="69" t="s">
        <v>0</v>
      </c>
      <c r="C19" s="70"/>
      <c r="D19" s="50" t="s">
        <v>55</v>
      </c>
      <c r="E19" s="51" t="s">
        <v>53</v>
      </c>
      <c r="F19" s="52" t="s">
        <v>54</v>
      </c>
    </row>
    <row r="20" spans="2:8" s="1" customFormat="1" ht="63.75" customHeight="1" x14ac:dyDescent="0.2">
      <c r="B20" s="71" t="s">
        <v>63</v>
      </c>
      <c r="C20" s="71"/>
      <c r="D20" s="53">
        <v>1</v>
      </c>
      <c r="E20" s="54" t="s">
        <v>64</v>
      </c>
      <c r="F20" s="55">
        <f>SUM(D20*E20)</f>
        <v>1100</v>
      </c>
    </row>
    <row r="21" spans="2:8" s="1" customFormat="1" ht="24.75" customHeight="1" x14ac:dyDescent="0.2">
      <c r="B21" s="66"/>
      <c r="C21" s="67"/>
      <c r="D21" s="48"/>
      <c r="E21" s="38"/>
      <c r="F21" s="40"/>
    </row>
    <row r="22" spans="2:8" s="1" customFormat="1" ht="20.25" customHeight="1" x14ac:dyDescent="0.2">
      <c r="B22" s="62"/>
      <c r="C22" s="63"/>
      <c r="D22" s="48"/>
      <c r="E22" s="38"/>
      <c r="F22" s="40"/>
      <c r="H22" s="8"/>
    </row>
    <row r="23" spans="2:8" s="1" customFormat="1" ht="24.75" customHeight="1" x14ac:dyDescent="0.2">
      <c r="B23" s="62"/>
      <c r="C23" s="63"/>
      <c r="D23" s="48"/>
      <c r="E23" s="38"/>
      <c r="F23" s="40"/>
    </row>
    <row r="24" spans="2:8" s="1" customFormat="1" ht="21" customHeight="1" x14ac:dyDescent="0.2">
      <c r="B24" s="64"/>
      <c r="C24" s="65"/>
      <c r="D24" s="35"/>
      <c r="E24" s="38"/>
      <c r="F24" s="40"/>
    </row>
    <row r="25" spans="2:8" s="1" customFormat="1" ht="20.100000000000001" customHeight="1" x14ac:dyDescent="0.2">
      <c r="B25" s="58"/>
      <c r="C25" s="59"/>
      <c r="D25" s="35"/>
      <c r="E25" s="38"/>
      <c r="F25" s="40"/>
    </row>
    <row r="26" spans="2:8" s="1" customFormat="1" ht="20.100000000000001" customHeight="1" x14ac:dyDescent="0.2">
      <c r="B26" s="58"/>
      <c r="C26" s="59"/>
      <c r="D26" s="35"/>
      <c r="E26" s="38"/>
      <c r="F26" s="40"/>
    </row>
    <row r="27" spans="2:8" s="1" customFormat="1" ht="20.100000000000001" customHeight="1" x14ac:dyDescent="0.2">
      <c r="B27" s="58"/>
      <c r="C27" s="59"/>
      <c r="D27" s="35"/>
      <c r="E27" s="38"/>
      <c r="F27" s="40"/>
    </row>
    <row r="28" spans="2:8" s="1" customFormat="1" ht="20.25" customHeight="1" x14ac:dyDescent="0.2">
      <c r="B28" s="58"/>
      <c r="C28" s="59"/>
      <c r="D28" s="35"/>
      <c r="E28" s="38"/>
      <c r="F28" s="40"/>
    </row>
    <row r="29" spans="2:8" s="1" customFormat="1" ht="20.100000000000001" customHeight="1" x14ac:dyDescent="0.2">
      <c r="B29" s="60"/>
      <c r="C29" s="61"/>
      <c r="D29" s="37"/>
      <c r="E29" s="39"/>
      <c r="F29" s="41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2">
        <f>SUM(F20:F29)</f>
        <v>1100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3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2">
        <f>F30*F31</f>
        <v>209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4">
        <f>F30+F32</f>
        <v>1309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0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5">
        <f>F33+F34</f>
        <v>1310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56" t="s">
        <v>65</v>
      </c>
      <c r="B37" s="11"/>
      <c r="C37" s="11"/>
      <c r="D37" s="11"/>
      <c r="E37" s="36"/>
      <c r="F37" s="36"/>
    </row>
    <row r="43" spans="1:9" x14ac:dyDescent="0.2">
      <c r="I43" s="17"/>
    </row>
    <row r="50" spans="2:6" ht="21" customHeight="1" x14ac:dyDescent="0.3">
      <c r="B50" s="46" t="s">
        <v>56</v>
      </c>
      <c r="E50" s="14"/>
      <c r="F50" s="13"/>
    </row>
    <row r="51" spans="2:6" ht="21" customHeight="1" x14ac:dyDescent="0.3">
      <c r="B51" s="46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2023-03-06T10:34:12Z</cp:lastPrinted>
  <dcterms:created xsi:type="dcterms:W3CDTF">2000-07-27T22:20:36Z</dcterms:created>
  <dcterms:modified xsi:type="dcterms:W3CDTF">2023-05-03T10:27:47Z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