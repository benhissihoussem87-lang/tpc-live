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2" i="11" l="1"/>
  <c r="F21" i="11"/>
  <c r="F20" i="11"/>
  <c r="G25" i="32"/>
  <c r="D29" i="32"/>
  <c r="F31" i="11" l="1"/>
  <c r="F33" i="11" s="1"/>
  <c r="E2" i="32"/>
  <c r="H2" i="32" s="1"/>
  <c r="F34" i="11" l="1"/>
  <c r="F36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<sst xmlns="http://schemas.openxmlformats.org/spreadsheetml/2006/main" count="72" uniqueCount="68">
  <si>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</si>
  <si>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</si>
  <si>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</si>
  <si>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</si>
  <si>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</si>
  <si>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</si>
  <si>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</si>
  <si>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</si>
  <si>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</si>
  <si>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</si>
  <si>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</si>
  <si>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</si>
  <si>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</si>
  <si>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</si>
  <si>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</si>
  <si>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</si>
  <si>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</si>
  <si>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</si>
  <si>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</si>
  <si>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</si>
  <si>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</si>
  <si>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</si>
  <si>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</si>
  <si>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</si>
  <si>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</si>
  <si>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</si>
  <si>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</si>
  <si>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</si>
  <si>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</si>
  <si>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</si>
  <si>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</si>
  <si>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</si>
  <si>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</si>
  <si>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</si>
  <si>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</si>
  <si>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</si>
  <si>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</si>
  <si>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</si>
  <si>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</si>
  <si>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</si>
  <si>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</si>
  <si>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</si>
  <si>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</si>
  <si>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</si>
  <si>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</si>
  <si>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</si>
  <si>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</si>
  <si>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</si>
  <si>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</si>
  <si>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</si>
  <si>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</si>
  <si>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</si>
  <si>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</si>
  <si>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</si>
  <si>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</si>
  <si>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</si>
  <si>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</si>
  <si>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</si>
  <si>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</si>
  <si>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STE PM ELCOM</t>
  </si>
  <si>
    <t>MHAMDIA BEN AROUS</t>
  </si>
  <si>
    <t>0965700 L/AM/000</t>
  </si>
  <si>
    <r>
      <t>CONTRÔLE DES INSTALLATIONS</t>
    </r>
    <r>
      <rPr>
        <sz val="12"/>
        <rFont val="Arial"/>
        <family val="2"/>
      </rPr>
      <t xml:space="preserve"> RESERVOIR</t>
    </r>
  </si>
  <si>
    <r>
      <t>CONTRÔLE DES INSTALLATIONS</t>
    </r>
    <r>
      <rPr>
        <sz val="12"/>
        <rFont val="Arial"/>
        <family val="2"/>
      </rPr>
      <t xml:space="preserve"> ELECTRIQUE</t>
    </r>
  </si>
  <si>
    <t>CONTRÔLE DE SYSTÈME DE DESENFUMAGE</t>
  </si>
  <si>
    <t>FACTURE 30/2023</t>
  </si>
  <si>
    <t>400,000</t>
  </si>
  <si>
    <t xml:space="preserve">                         Arrêtée la présente facture à la somme de : MILLE QUATRE CENT VINGT NEUF  DINARS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</si>
</sst>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sz val="9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2" fillId="0" borderId="0" xfId="0" applyNumberFormat="1" applyFont="1" applyAlignment="1">
      <alignment horizontal="right" vertical="center"/>
    </xf>
    <xf numFmtId="0" fontId="13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5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167" fontId="0" fillId="0" borderId="0" xfId="0" applyNumberFormat="1"/>
    <xf numFmtId="0" fontId="19" fillId="0" borderId="1" xfId="0" applyFont="1" applyBorder="1"/>
    <xf numFmtId="167" fontId="19" fillId="0" borderId="1" xfId="0" applyNumberFormat="1" applyFont="1" applyBorder="1"/>
    <xf numFmtId="166" fontId="20" fillId="0" borderId="1" xfId="0" applyNumberFormat="1" applyFont="1" applyBorder="1"/>
    <xf numFmtId="0" fontId="21" fillId="4" borderId="1" xfId="0" applyFont="1" applyFill="1" applyBorder="1"/>
    <xf numFmtId="166" fontId="21" fillId="4" borderId="1" xfId="0" applyNumberFormat="1" applyFont="1" applyFill="1" applyBorder="1"/>
    <xf numFmtId="166" fontId="22" fillId="4" borderId="1" xfId="0" applyNumberFormat="1" applyFont="1" applyFill="1" applyBorder="1"/>
    <xf numFmtId="9" fontId="21" fillId="4" borderId="1" xfId="1" applyFont="1" applyFill="1" applyBorder="1"/>
    <xf numFmtId="166" fontId="20" fillId="0" borderId="1" xfId="0" applyNumberFormat="1" applyFont="1" applyFill="1" applyBorder="1"/>
    <xf numFmtId="0" fontId="20" fillId="0" borderId="1" xfId="0" applyFont="1" applyFill="1" applyBorder="1"/>
    <xf numFmtId="167" fontId="20" fillId="0" borderId="1" xfId="0" applyNumberFormat="1" applyFont="1" applyFill="1" applyBorder="1"/>
    <xf numFmtId="0" fontId="15" fillId="0" borderId="0" xfId="0" applyFont="1" applyAlignment="1">
      <alignment horizontal="right" vertical="top"/>
    </xf>
    <xf numFmtId="17" fontId="20" fillId="0" borderId="1" xfId="0" applyNumberFormat="1" applyFont="1" applyFill="1" applyBorder="1"/>
    <xf numFmtId="0" fontId="17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3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4" fillId="0" borderId="0" xfId="0" applyFont="1"/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6" fillId="2" borderId="4" xfId="0" applyFont="1" applyFill="1" applyBorder="1" applyAlignment="1">
      <alignment horizontal="left" vertical="center"/>
    </xf>
    <xf numFmtId="0" fontId="16" fillId="2" borderId="9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workbookViewId="0">
      <selection activeCell="H15" sqref="H15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1"/>
      <c r="D5" s="51"/>
      <c r="E5" s="51"/>
    </row>
    <row r="6" spans="1:6" ht="7.5" customHeight="1" x14ac:dyDescent="0.2">
      <c r="A6" s="35"/>
      <c r="B6" s="35"/>
      <c r="C6" s="51"/>
      <c r="D6" s="51"/>
      <c r="E6" s="51"/>
    </row>
    <row r="7" spans="1:6" x14ac:dyDescent="0.2">
      <c r="A7" s="35"/>
      <c r="B7" s="35"/>
      <c r="C7" s="51"/>
      <c r="D7" s="51"/>
      <c r="E7" s="51"/>
    </row>
    <row r="8" spans="1:6" s="1" customFormat="1" ht="57.75" customHeight="1" x14ac:dyDescent="0.2">
      <c r="A8" s="61" t="s">
        <v>65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45012</v>
      </c>
    </row>
    <row r="10" spans="1:6" ht="15.75" x14ac:dyDescent="0.25">
      <c r="B10" s="3"/>
      <c r="E10" s="20"/>
      <c r="F10" s="10"/>
    </row>
    <row r="11" spans="1:6" ht="15.75" x14ac:dyDescent="0.25">
      <c r="B11" s="3"/>
      <c r="E11" s="19" t="s">
        <v>8</v>
      </c>
      <c r="F11" s="10" t="s">
        <v>59</v>
      </c>
    </row>
    <row r="12" spans="1:6" ht="9.75" customHeight="1" x14ac:dyDescent="0.25">
      <c r="B12" s="3"/>
      <c r="E12" s="19"/>
      <c r="F12" s="12"/>
    </row>
    <row r="13" spans="1:6" ht="31.5" x14ac:dyDescent="0.25">
      <c r="B13" s="3"/>
      <c r="E13" s="33" t="s">
        <v>7</v>
      </c>
      <c r="F13" s="17" t="s">
        <v>60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 t="s">
        <v>61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30.75" customHeight="1" x14ac:dyDescent="0.2">
      <c r="B20" s="59" t="s">
        <v>63</v>
      </c>
      <c r="C20" s="60"/>
      <c r="D20" s="64">
        <v>1</v>
      </c>
      <c r="E20" s="41" t="s">
        <v>66</v>
      </c>
      <c r="F20" s="44">
        <f>SUM(D20*E20)</f>
        <v>400</v>
      </c>
    </row>
    <row r="21" spans="2:8" s="1" customFormat="1" ht="21.75" customHeight="1" x14ac:dyDescent="0.2">
      <c r="B21" s="59" t="s">
        <v>62</v>
      </c>
      <c r="C21" s="60"/>
      <c r="D21" s="64">
        <v>1</v>
      </c>
      <c r="E21" s="41" t="s">
        <v>66</v>
      </c>
      <c r="F21" s="44">
        <f>SUM(D21*E21)</f>
        <v>400</v>
      </c>
    </row>
    <row r="22" spans="2:8" s="1" customFormat="1" ht="20.100000000000001" customHeight="1" x14ac:dyDescent="0.2">
      <c r="B22" s="59" t="s">
        <v>64</v>
      </c>
      <c r="C22" s="60"/>
      <c r="D22" s="64">
        <v>1</v>
      </c>
      <c r="E22" s="41" t="s">
        <v>66</v>
      </c>
      <c r="F22" s="44">
        <f>SUM(D22*E22)</f>
        <v>400</v>
      </c>
    </row>
    <row r="23" spans="2:8" s="1" customFormat="1" ht="20.100000000000001" customHeight="1" x14ac:dyDescent="0.2">
      <c r="B23" s="56"/>
      <c r="C23" s="53"/>
      <c r="D23" s="36"/>
      <c r="E23" s="41"/>
      <c r="F23" s="44"/>
      <c r="H23" s="8"/>
    </row>
    <row r="24" spans="2:8" s="1" customFormat="1" ht="20.100000000000001" customHeight="1" x14ac:dyDescent="0.2">
      <c r="B24" s="57"/>
      <c r="C24" s="58"/>
      <c r="D24" s="36"/>
      <c r="E24" s="41"/>
      <c r="F24" s="44"/>
    </row>
    <row r="25" spans="2:8" s="1" customFormat="1" ht="20.100000000000001" customHeight="1" x14ac:dyDescent="0.2">
      <c r="B25" s="56"/>
      <c r="C25" s="53"/>
      <c r="D25" s="36"/>
      <c r="E25" s="41"/>
      <c r="F25" s="44"/>
    </row>
    <row r="26" spans="2:8" s="1" customFormat="1" ht="20.100000000000001" customHeight="1" x14ac:dyDescent="0.2">
      <c r="B26" s="56"/>
      <c r="C26" s="53"/>
      <c r="D26" s="36"/>
      <c r="E26" s="41"/>
      <c r="F26" s="44"/>
    </row>
    <row r="27" spans="2:8" s="1" customFormat="1" ht="20.100000000000001" customHeight="1" x14ac:dyDescent="0.2">
      <c r="B27" s="56"/>
      <c r="C27" s="53"/>
      <c r="D27" s="36"/>
      <c r="E27" s="41"/>
      <c r="F27" s="44"/>
    </row>
    <row r="28" spans="2:8" s="1" customFormat="1" ht="20.100000000000001" customHeight="1" x14ac:dyDescent="0.2">
      <c r="B28" s="56"/>
      <c r="C28" s="53"/>
      <c r="D28" s="36"/>
      <c r="E28" s="41"/>
      <c r="F28" s="44"/>
    </row>
    <row r="29" spans="2:8" s="1" customFormat="1" ht="20.100000000000001" customHeight="1" x14ac:dyDescent="0.2">
      <c r="B29" s="52"/>
      <c r="C29" s="53"/>
      <c r="D29" s="36"/>
      <c r="E29" s="41"/>
      <c r="F29" s="44"/>
    </row>
    <row r="30" spans="2:8" s="1" customFormat="1" ht="20.100000000000001" customHeight="1" x14ac:dyDescent="0.2">
      <c r="B30" s="54"/>
      <c r="C30" s="55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1200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f>+F31*F32</f>
        <v>228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f>+F33+F31</f>
        <v>1428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F34+F35</f>
        <v>1429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67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2023-03-27T09:31:04Z</cp:lastPrinted>
  <dcterms:created xsi:type="dcterms:W3CDTF">2000-07-27T22:20:36Z</dcterms:created>
  <dcterms:modified xsi:type="dcterms:W3CDTF">2023-03-27T09:40:14Z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