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travail majdi\facture\2023\FACTURE\"/>
    </mc:Choice>
  </mc:AlternateContent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62913"/>
</workbook>
</file>

<file path=xl/calcChain.xml><?xml version="1.0" encoding="utf-8"?>
<calcChain xmlns="http://schemas.openxmlformats.org/spreadsheetml/2006/main">
  <c r="F20" i="11" l="1"/>
  <c r="G25" i="32"/>
  <c r="D29" i="32"/>
  <c r="F30" i="11" l="1"/>
  <c r="E2" i="32"/>
  <c r="H2" i="32" s="1"/>
  <c r="F32" i="11" l="1"/>
  <c r="F33" i="11" s="1"/>
  <c r="F35" i="11" s="1"/>
  <c r="D25" i="32"/>
  <c r="F2" i="32"/>
  <c r="E25" i="32" l="1"/>
  <c r="F27" i="32"/>
  <c r="F25" i="32"/>
</calcChain>
</file>

<file path=xl/sharedStrings.xml><?xml version="1.0" encoding="utf-8"?>
<sst xmlns="http://schemas.openxmlformats.org/spreadsheetml/2006/main" count="72" uniqueCount="70">
  <si>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</si>
  <si>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</si>
  <si>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</si>
  <si>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</si>
  <si>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</si>
  <si>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</si>
  <si>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</si>
  <si>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</si>
  <si>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</si>
  <si>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</si>
  <si>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</si>
  <si>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</si>
  <si>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</si>
  <si>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</si>
  <si>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</si>
  <si>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</si>
  <si>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</si>
  <si>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</si>
  <si>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</si>
  <si>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</si>
  <si>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</si>
  <si>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</si>
  <si>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</si>
  <si>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</si>
  <si>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</si>
  <si>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</si>
  <si>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</si>
  <si>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</si>
  <si>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</si>
  <si>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</si>
  <si>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</si>
  <si>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</si>
  <si>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</si>
  <si>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</si>
  <si>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</si>
  <si>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</si>
  <si>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</si>
  <si>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</si>
  <si>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</si>
  <si>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</si>
  <si>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</si>
  <si>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</si>
  <si>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</si>
  <si>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</si>
  <si>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</si>
  <si>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</si>
  <si>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</si>
  <si>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</si>
  <si>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</si>
  <si>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</si>
  <si>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</si>
  <si>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</si>
  <si>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</si>
  <si>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</si>
  <si>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</si>
  <si>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</si>
  <si>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 xml:space="preserve">          LA DIRECTION </t>
  </si>
  <si>
    <t xml:space="preserve">                 TPC</t>
  </si>
  <si>
    <t>BON DE COMMANDE N°:</t>
  </si>
  <si>
    <t>STE GTI</t>
  </si>
  <si>
    <t>Contrôle technique des installations électrique</t>
  </si>
  <si>
    <t>Contrôle technique des installations détection incendie</t>
  </si>
  <si>
    <t>Contrôle technique des installations des appareils de levage</t>
  </si>
  <si>
    <t>ENS</t>
  </si>
  <si>
    <t>1 100,000</t>
  </si>
  <si>
    <t xml:space="preserve">DEPLACEMENT </t>
  </si>
  <si>
    <t>FACTURE 43/23</t>
  </si>
  <si>
    <t>SFAX</t>
  </si>
  <si>
    <t>600 *500</t>
  </si>
  <si>
    <r>
      <t xml:space="preserve">                           </t>
    </r>
    <r>
      <rPr>
        <b/>
        <i/>
        <sz val="11"/>
        <color theme="4" tint="-0.249977111117893"/>
        <rFont val="Arial"/>
        <family val="2"/>
      </rPr>
      <t xml:space="preserve">Arrêtée la présente facture à la somme de : MILLE SIX CENT SOIXANTE SEPT DINARS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</si>
</sst>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6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  <font>
      <sz val="12"/>
      <color indexed="63"/>
      <name val="Arial"/>
      <family val="2"/>
    </font>
    <font>
      <b/>
      <i/>
      <sz val="11"/>
      <color theme="4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</borders>
  <cellStyleXfs count="4">
    <xf numFmtId="0" fontId="0" fillId="0" borderId="0"/>
    <xf numFmtId="9" fontId="1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1" fillId="0" borderId="0" xfId="0" applyNumberFormat="1" applyFont="1" applyAlignment="1">
      <alignment horizontal="right" vertical="center"/>
    </xf>
    <xf numFmtId="0" fontId="12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167" fontId="0" fillId="0" borderId="0" xfId="0" applyNumberFormat="1"/>
    <xf numFmtId="0" fontId="18" fillId="0" borderId="1" xfId="0" applyFont="1" applyBorder="1"/>
    <xf numFmtId="167" fontId="18" fillId="0" borderId="1" xfId="0" applyNumberFormat="1" applyFont="1" applyBorder="1"/>
    <xf numFmtId="166" fontId="19" fillId="0" borderId="1" xfId="0" applyNumberFormat="1" applyFont="1" applyBorder="1"/>
    <xf numFmtId="0" fontId="20" fillId="4" borderId="1" xfId="0" applyFont="1" applyFill="1" applyBorder="1"/>
    <xf numFmtId="166" fontId="20" fillId="4" borderId="1" xfId="0" applyNumberFormat="1" applyFont="1" applyFill="1" applyBorder="1"/>
    <xf numFmtId="166" fontId="21" fillId="4" borderId="1" xfId="0" applyNumberFormat="1" applyFont="1" applyFill="1" applyBorder="1"/>
    <xf numFmtId="9" fontId="20" fillId="4" borderId="1" xfId="1" applyFont="1" applyFill="1" applyBorder="1"/>
    <xf numFmtId="166" fontId="19" fillId="0" borderId="1" xfId="0" applyNumberFormat="1" applyFont="1" applyFill="1" applyBorder="1"/>
    <xf numFmtId="0" fontId="19" fillId="0" borderId="1" xfId="0" applyFont="1" applyFill="1" applyBorder="1"/>
    <xf numFmtId="167" fontId="19" fillId="0" borderId="1" xfId="0" applyNumberFormat="1" applyFont="1" applyFill="1" applyBorder="1"/>
    <xf numFmtId="0" fontId="14" fillId="0" borderId="0" xfId="0" applyFont="1" applyAlignment="1">
      <alignment horizontal="right" vertical="top"/>
    </xf>
    <xf numFmtId="17" fontId="19" fillId="0" borderId="1" xfId="0" applyNumberFormat="1" applyFont="1" applyFill="1" applyBorder="1"/>
    <xf numFmtId="0" fontId="16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22" fillId="2" borderId="5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center" vertical="center"/>
    </xf>
    <xf numFmtId="49" fontId="10" fillId="0" borderId="12" xfId="0" applyNumberFormat="1" applyFont="1" applyFill="1" applyBorder="1" applyAlignment="1">
      <alignment horizontal="center" vertical="center"/>
    </xf>
    <xf numFmtId="49" fontId="10" fillId="0" borderId="13" xfId="0" applyNumberFormat="1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166" fontId="10" fillId="0" borderId="15" xfId="0" applyNumberFormat="1" applyFont="1" applyFill="1" applyBorder="1" applyAlignment="1">
      <alignment horizontal="right" vertical="center"/>
    </xf>
    <xf numFmtId="166" fontId="10" fillId="0" borderId="16" xfId="0" applyNumberFormat="1" applyFont="1" applyFill="1" applyBorder="1" applyAlignment="1">
      <alignment horizontal="right" vertical="center"/>
    </xf>
    <xf numFmtId="166" fontId="10" fillId="2" borderId="15" xfId="0" applyNumberFormat="1" applyFont="1" applyFill="1" applyBorder="1" applyAlignment="1">
      <alignment horizontal="right" vertical="center"/>
    </xf>
    <xf numFmtId="9" fontId="10" fillId="0" borderId="15" xfId="0" applyNumberFormat="1" applyFont="1" applyBorder="1" applyAlignment="1">
      <alignment horizontal="right" vertical="center"/>
    </xf>
    <xf numFmtId="166" fontId="10" fillId="0" borderId="15" xfId="0" applyNumberFormat="1" applyFont="1" applyBorder="1" applyAlignment="1">
      <alignment horizontal="right" vertical="center"/>
    </xf>
    <xf numFmtId="166" fontId="10" fillId="3" borderId="16" xfId="0" applyNumberFormat="1" applyFont="1" applyFill="1" applyBorder="1" applyAlignment="1">
      <alignment horizontal="right" vertical="center"/>
    </xf>
    <xf numFmtId="0" fontId="23" fillId="0" borderId="0" xfId="0" applyFont="1"/>
    <xf numFmtId="0" fontId="8" fillId="0" borderId="0" xfId="0" applyFont="1" applyAlignment="1">
      <alignment horizontal="left" vertical="top" wrapText="1"/>
    </xf>
    <xf numFmtId="0" fontId="10" fillId="0" borderId="3" xfId="0" applyFont="1" applyFill="1" applyBorder="1" applyAlignment="1">
      <alignment horizontal="center" vertical="center"/>
    </xf>
    <xf numFmtId="49" fontId="24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5" fillId="0" borderId="6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10" fillId="0" borderId="17" xfId="0" applyFont="1" applyFill="1" applyBorder="1" applyAlignment="1">
      <alignment horizontal="left" vertical="center" wrapText="1"/>
    </xf>
    <xf numFmtId="0" fontId="10" fillId="0" borderId="18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39</xdr:row>
      <xdr:rowOff>123825</xdr:rowOff>
    </xdr:from>
    <xdr:to>
      <xdr:col>4</xdr:col>
      <xdr:colOff>504825</xdr:colOff>
      <xdr:row>47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47</xdr:row>
      <xdr:rowOff>152401</xdr:rowOff>
    </xdr:from>
    <xdr:to>
      <xdr:col>6</xdr:col>
      <xdr:colOff>1057275</xdr:colOff>
      <xdr:row>52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 x14ac:dyDescent="0.2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 x14ac:dyDescent="0.3">
      <c r="A1" s="23" t="s">
        <v>10</v>
      </c>
      <c r="B1" s="24" t="s">
        <v>11</v>
      </c>
      <c r="C1" s="23" t="s">
        <v>12</v>
      </c>
      <c r="D1" s="23" t="s">
        <v>13</v>
      </c>
      <c r="E1" s="23" t="s">
        <v>14</v>
      </c>
      <c r="F1" s="23" t="s">
        <v>15</v>
      </c>
      <c r="G1" s="23" t="s">
        <v>16</v>
      </c>
      <c r="H1" s="23" t="s">
        <v>20</v>
      </c>
    </row>
    <row r="2" spans="1:8" ht="13.5" x14ac:dyDescent="0.25">
      <c r="A2" s="34" t="s">
        <v>22</v>
      </c>
      <c r="B2" s="32">
        <v>43838</v>
      </c>
      <c r="C2" s="31" t="s">
        <v>21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 x14ac:dyDescent="0.25">
      <c r="A3" s="34" t="s">
        <v>23</v>
      </c>
      <c r="B3" s="32">
        <v>43847</v>
      </c>
      <c r="C3" s="31" t="s">
        <v>24</v>
      </c>
      <c r="D3" s="30"/>
      <c r="E3" s="30"/>
      <c r="F3" s="30"/>
      <c r="G3" s="30"/>
      <c r="H3" s="30"/>
    </row>
    <row r="4" spans="1:8" ht="13.5" x14ac:dyDescent="0.25">
      <c r="A4" s="34" t="s">
        <v>25</v>
      </c>
      <c r="B4" s="32">
        <v>43853</v>
      </c>
      <c r="C4" s="31" t="s">
        <v>26</v>
      </c>
      <c r="D4" s="30"/>
      <c r="E4" s="30"/>
      <c r="F4" s="30"/>
      <c r="G4" s="30"/>
      <c r="H4" s="30"/>
    </row>
    <row r="5" spans="1:8" ht="13.5" x14ac:dyDescent="0.25">
      <c r="A5" s="34" t="s">
        <v>27</v>
      </c>
      <c r="B5" s="32">
        <v>43859</v>
      </c>
      <c r="C5" s="31" t="s">
        <v>28</v>
      </c>
      <c r="D5" s="30"/>
      <c r="E5" s="30"/>
      <c r="F5" s="30"/>
      <c r="G5" s="30"/>
      <c r="H5" s="30"/>
    </row>
    <row r="6" spans="1:8" ht="13.5" hidden="1" x14ac:dyDescent="0.25">
      <c r="A6" s="34" t="s">
        <v>29</v>
      </c>
      <c r="B6" s="32">
        <v>30</v>
      </c>
      <c r="C6" s="31"/>
      <c r="D6" s="30"/>
      <c r="E6" s="30"/>
      <c r="F6" s="30"/>
      <c r="G6" s="30"/>
      <c r="H6" s="30"/>
    </row>
    <row r="7" spans="1:8" ht="13.5" x14ac:dyDescent="0.25">
      <c r="A7" s="34" t="s">
        <v>29</v>
      </c>
      <c r="B7" s="32">
        <v>43860</v>
      </c>
      <c r="C7" s="31" t="s">
        <v>47</v>
      </c>
      <c r="D7" s="30"/>
      <c r="E7" s="30"/>
      <c r="F7" s="30"/>
      <c r="G7" s="30"/>
      <c r="H7" s="30"/>
    </row>
    <row r="8" spans="1:8" ht="13.5" x14ac:dyDescent="0.25">
      <c r="A8" s="34" t="s">
        <v>30</v>
      </c>
      <c r="B8" s="32">
        <v>43871</v>
      </c>
      <c r="C8" s="31" t="s">
        <v>47</v>
      </c>
      <c r="D8" s="30"/>
      <c r="E8" s="30"/>
      <c r="F8" s="30"/>
      <c r="G8" s="30"/>
      <c r="H8" s="30"/>
    </row>
    <row r="9" spans="1:8" ht="13.5" hidden="1" x14ac:dyDescent="0.25">
      <c r="A9" s="34" t="s">
        <v>31</v>
      </c>
      <c r="B9" s="32">
        <v>10</v>
      </c>
      <c r="C9" s="31"/>
      <c r="D9" s="30"/>
      <c r="E9" s="30"/>
      <c r="F9" s="30"/>
      <c r="G9" s="30"/>
      <c r="H9" s="30"/>
    </row>
    <row r="10" spans="1:8" ht="13.5" x14ac:dyDescent="0.25">
      <c r="A10" s="34" t="s">
        <v>32</v>
      </c>
      <c r="B10" s="32">
        <v>43872</v>
      </c>
      <c r="C10" s="31" t="s">
        <v>48</v>
      </c>
      <c r="D10" s="30"/>
      <c r="E10" s="30"/>
      <c r="F10" s="30"/>
      <c r="G10" s="30"/>
      <c r="H10" s="30"/>
    </row>
    <row r="11" spans="1:8" ht="13.5" x14ac:dyDescent="0.25">
      <c r="A11" s="34" t="s">
        <v>33</v>
      </c>
      <c r="B11" s="32">
        <v>43872</v>
      </c>
      <c r="C11" s="31" t="s">
        <v>49</v>
      </c>
      <c r="D11" s="30"/>
      <c r="E11" s="30"/>
      <c r="F11" s="30"/>
      <c r="G11" s="30"/>
      <c r="H11" s="30"/>
    </row>
    <row r="12" spans="1:8" ht="13.5" x14ac:dyDescent="0.25">
      <c r="A12" s="34" t="s">
        <v>34</v>
      </c>
      <c r="B12" s="32">
        <v>43875</v>
      </c>
      <c r="C12" s="31" t="s">
        <v>50</v>
      </c>
      <c r="D12" s="30"/>
      <c r="E12" s="30"/>
      <c r="F12" s="30"/>
      <c r="G12" s="30"/>
      <c r="H12" s="30"/>
    </row>
    <row r="13" spans="1:8" ht="13.5" x14ac:dyDescent="0.25">
      <c r="A13" s="34" t="s">
        <v>35</v>
      </c>
      <c r="B13" s="32">
        <v>43875</v>
      </c>
      <c r="C13" s="31" t="s">
        <v>51</v>
      </c>
      <c r="D13" s="30"/>
      <c r="E13" s="30"/>
      <c r="F13" s="30"/>
      <c r="G13" s="25"/>
      <c r="H13" s="30"/>
    </row>
    <row r="14" spans="1:8" ht="13.5" x14ac:dyDescent="0.25">
      <c r="A14" s="34" t="s">
        <v>36</v>
      </c>
      <c r="B14" s="32">
        <v>43879</v>
      </c>
      <c r="C14" s="31" t="s">
        <v>52</v>
      </c>
      <c r="D14" s="30"/>
      <c r="E14" s="30"/>
      <c r="F14" s="30"/>
      <c r="G14" s="25"/>
      <c r="H14" s="30"/>
    </row>
    <row r="15" spans="1:8" ht="13.5" x14ac:dyDescent="0.25">
      <c r="A15" s="34" t="s">
        <v>37</v>
      </c>
      <c r="B15" s="32"/>
      <c r="C15" s="31"/>
      <c r="D15" s="30"/>
      <c r="E15" s="30"/>
      <c r="F15" s="30"/>
      <c r="G15" s="25"/>
      <c r="H15" s="30"/>
    </row>
    <row r="16" spans="1:8" ht="13.5" x14ac:dyDescent="0.25">
      <c r="A16" s="34" t="s">
        <v>38</v>
      </c>
      <c r="B16" s="32"/>
      <c r="C16" s="31"/>
      <c r="D16" s="30"/>
      <c r="E16" s="30"/>
      <c r="F16" s="30"/>
      <c r="G16" s="25"/>
      <c r="H16" s="30"/>
    </row>
    <row r="17" spans="1:8" ht="13.5" x14ac:dyDescent="0.25">
      <c r="A17" s="34" t="s">
        <v>39</v>
      </c>
      <c r="B17" s="32"/>
      <c r="C17" s="31"/>
      <c r="D17" s="30"/>
      <c r="E17" s="30"/>
      <c r="F17" s="30"/>
      <c r="G17" s="25"/>
      <c r="H17" s="30"/>
    </row>
    <row r="18" spans="1:8" ht="13.5" x14ac:dyDescent="0.25">
      <c r="A18" s="34" t="s">
        <v>40</v>
      </c>
      <c r="B18" s="32"/>
      <c r="C18" s="31"/>
      <c r="D18" s="30"/>
      <c r="E18" s="30"/>
      <c r="F18" s="30"/>
      <c r="G18" s="25"/>
      <c r="H18" s="30"/>
    </row>
    <row r="19" spans="1:8" ht="13.5" x14ac:dyDescent="0.25">
      <c r="A19" s="34" t="s">
        <v>41</v>
      </c>
      <c r="B19" s="32"/>
      <c r="C19" s="31"/>
      <c r="D19" s="30"/>
      <c r="E19" s="30"/>
      <c r="F19" s="30"/>
      <c r="G19" s="25"/>
      <c r="H19" s="30"/>
    </row>
    <row r="20" spans="1:8" ht="13.5" x14ac:dyDescent="0.25">
      <c r="A20" s="34" t="s">
        <v>42</v>
      </c>
      <c r="B20" s="32"/>
      <c r="C20" s="31"/>
      <c r="D20" s="30"/>
      <c r="E20" s="30"/>
      <c r="F20" s="30"/>
      <c r="G20" s="25"/>
      <c r="H20" s="30"/>
    </row>
    <row r="21" spans="1:8" ht="13.5" x14ac:dyDescent="0.25">
      <c r="A21" s="34" t="s">
        <v>43</v>
      </c>
      <c r="B21" s="32"/>
      <c r="C21" s="31"/>
      <c r="D21" s="30"/>
      <c r="E21" s="30"/>
      <c r="F21" s="30"/>
      <c r="G21" s="25"/>
      <c r="H21" s="30"/>
    </row>
    <row r="22" spans="1:8" ht="13.5" x14ac:dyDescent="0.25">
      <c r="A22" s="34" t="s">
        <v>44</v>
      </c>
      <c r="B22" s="32"/>
      <c r="C22" s="31"/>
      <c r="D22" s="30"/>
      <c r="E22" s="30"/>
      <c r="F22" s="30"/>
      <c r="G22" s="30"/>
      <c r="H22" s="30"/>
    </row>
    <row r="23" spans="1:8" ht="13.5" x14ac:dyDescent="0.25">
      <c r="A23" s="34" t="s">
        <v>45</v>
      </c>
      <c r="B23" s="32"/>
      <c r="C23" s="31"/>
      <c r="D23" s="30"/>
      <c r="E23" s="30"/>
      <c r="F23" s="30"/>
      <c r="G23" s="30"/>
      <c r="H23" s="30"/>
    </row>
    <row r="24" spans="1:8" ht="13.5" x14ac:dyDescent="0.25">
      <c r="A24" s="34" t="s">
        <v>46</v>
      </c>
      <c r="B24" s="32"/>
      <c r="C24" s="31"/>
      <c r="D24" s="30"/>
      <c r="E24" s="30"/>
      <c r="F24" s="30"/>
      <c r="G24" s="25"/>
      <c r="H24" s="30"/>
    </row>
    <row r="25" spans="1:8" ht="15" x14ac:dyDescent="0.3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 x14ac:dyDescent="0.2">
      <c r="D26" s="18"/>
    </row>
    <row r="27" spans="1:8" ht="15" x14ac:dyDescent="0.3">
      <c r="A27" s="26"/>
      <c r="B27" s="26"/>
      <c r="C27" s="26" t="s">
        <v>17</v>
      </c>
      <c r="D27" s="27"/>
      <c r="E27" s="27"/>
      <c r="F27" s="29" t="e">
        <f>(E27)/D25</f>
        <v>#DIV/0!</v>
      </c>
      <c r="G27" s="27"/>
      <c r="H27" s="27"/>
    </row>
    <row r="29" spans="1:8" ht="15" x14ac:dyDescent="0.3">
      <c r="A29" s="26"/>
      <c r="B29" s="26"/>
      <c r="C29" s="26" t="s">
        <v>18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3:I53"/>
  <sheetViews>
    <sheetView showGridLines="0" tabSelected="1" workbookViewId="0">
      <selection activeCell="H25" sqref="H25"/>
    </sheetView>
  </sheetViews>
  <sheetFormatPr baseColWidth="10" defaultColWidth="9.140625" defaultRowHeight="12.75" x14ac:dyDescent="0.2"/>
  <cols>
    <col min="1" max="1" width="11.140625" customWidth="1"/>
    <col min="2" max="2" width="22" customWidth="1"/>
    <col min="3" max="3" width="26.5703125" customWidth="1"/>
    <col min="4" max="4" width="11.28515625" customWidth="1"/>
    <col min="5" max="5" width="23.5703125" customWidth="1"/>
    <col min="6" max="6" width="26.140625" customWidth="1"/>
    <col min="7" max="7" width="20" customWidth="1"/>
  </cols>
  <sheetData>
    <row r="3" spans="1:6" x14ac:dyDescent="0.2">
      <c r="A3" s="35"/>
      <c r="B3" s="35"/>
    </row>
    <row r="4" spans="1:6" x14ac:dyDescent="0.2">
      <c r="A4" s="35"/>
      <c r="B4" s="35"/>
    </row>
    <row r="5" spans="1:6" x14ac:dyDescent="0.2">
      <c r="A5" s="35"/>
      <c r="B5" s="35"/>
      <c r="C5" s="54"/>
      <c r="D5" s="54"/>
      <c r="E5" s="54"/>
    </row>
    <row r="6" spans="1:6" ht="7.5" customHeight="1" x14ac:dyDescent="0.2">
      <c r="A6" s="35"/>
      <c r="B6" s="35"/>
      <c r="C6" s="54"/>
      <c r="D6" s="54"/>
      <c r="E6" s="54"/>
    </row>
    <row r="7" spans="1:6" x14ac:dyDescent="0.2">
      <c r="A7" s="35"/>
      <c r="B7" s="35"/>
      <c r="C7" s="54"/>
      <c r="D7" s="54"/>
      <c r="E7" s="54"/>
    </row>
    <row r="8" spans="1:6" s="1" customFormat="1" ht="57.75" customHeight="1" x14ac:dyDescent="0.2">
      <c r="A8" s="62" t="s">
        <v>66</v>
      </c>
      <c r="B8" s="62"/>
      <c r="C8" s="62"/>
      <c r="D8" s="62"/>
      <c r="E8" s="62"/>
      <c r="F8" s="62"/>
    </row>
    <row r="9" spans="1:6" ht="24.75" customHeight="1" x14ac:dyDescent="0.4">
      <c r="B9" s="2"/>
      <c r="C9" s="2"/>
      <c r="D9" s="2"/>
      <c r="E9" s="19" t="s">
        <v>9</v>
      </c>
      <c r="F9" s="9">
        <v>45054</v>
      </c>
    </row>
    <row r="10" spans="1:6" ht="15.75" x14ac:dyDescent="0.25">
      <c r="B10" s="3"/>
      <c r="E10" s="20"/>
      <c r="F10" s="10"/>
    </row>
    <row r="11" spans="1:6" ht="28.5" customHeight="1" x14ac:dyDescent="0.2">
      <c r="B11" s="3"/>
      <c r="E11" s="33" t="s">
        <v>8</v>
      </c>
      <c r="F11" s="51" t="s">
        <v>59</v>
      </c>
    </row>
    <row r="12" spans="1:6" ht="5.25" hidden="1" customHeight="1" x14ac:dyDescent="0.25">
      <c r="B12" s="3"/>
      <c r="E12" s="19"/>
      <c r="F12" s="12"/>
    </row>
    <row r="13" spans="1:6" ht="18" customHeight="1" x14ac:dyDescent="0.25">
      <c r="B13" s="3"/>
      <c r="E13" s="33" t="s">
        <v>7</v>
      </c>
      <c r="F13" s="17" t="s">
        <v>67</v>
      </c>
    </row>
    <row r="14" spans="1:6" ht="13.5" customHeight="1" x14ac:dyDescent="0.25">
      <c r="B14" s="3"/>
      <c r="E14" s="21"/>
      <c r="F14" s="17"/>
    </row>
    <row r="15" spans="1:6" ht="18" customHeight="1" x14ac:dyDescent="0.25">
      <c r="B15" s="3"/>
      <c r="E15" s="19" t="s">
        <v>6</v>
      </c>
      <c r="F15" s="10"/>
    </row>
    <row r="16" spans="1:6" x14ac:dyDescent="0.2">
      <c r="E16" s="5"/>
      <c r="F16" s="4"/>
    </row>
    <row r="17" spans="2:8" ht="15.75" x14ac:dyDescent="0.25">
      <c r="C17" s="5"/>
      <c r="D17" s="5"/>
      <c r="E17" s="19" t="s">
        <v>58</v>
      </c>
      <c r="F17" s="53"/>
    </row>
    <row r="18" spans="2:8" ht="12.75" customHeight="1" x14ac:dyDescent="0.25">
      <c r="B18" s="5"/>
      <c r="C18" s="5"/>
      <c r="D18" s="5"/>
      <c r="E18" s="19"/>
      <c r="F18" s="5"/>
    </row>
    <row r="19" spans="2:8" s="1" customFormat="1" ht="20.100000000000001" customHeight="1" x14ac:dyDescent="0.2">
      <c r="B19" s="63" t="s">
        <v>0</v>
      </c>
      <c r="C19" s="64"/>
      <c r="D19" s="38" t="s">
        <v>55</v>
      </c>
      <c r="E19" s="40" t="s">
        <v>53</v>
      </c>
      <c r="F19" s="43" t="s">
        <v>54</v>
      </c>
    </row>
    <row r="20" spans="2:8" s="1" customFormat="1" ht="24" customHeight="1" x14ac:dyDescent="0.2">
      <c r="B20" s="59" t="s">
        <v>60</v>
      </c>
      <c r="C20" s="60"/>
      <c r="D20" s="52">
        <v>1</v>
      </c>
      <c r="E20" s="41" t="s">
        <v>64</v>
      </c>
      <c r="F20" s="44">
        <f>SUM(D20*E20)</f>
        <v>1100</v>
      </c>
    </row>
    <row r="21" spans="2:8" s="1" customFormat="1" ht="30.75" customHeight="1" x14ac:dyDescent="0.2">
      <c r="B21" s="59" t="s">
        <v>61</v>
      </c>
      <c r="C21" s="60"/>
      <c r="D21" s="52" t="s">
        <v>63</v>
      </c>
      <c r="E21" s="41"/>
      <c r="F21" s="44"/>
    </row>
    <row r="22" spans="2:8" s="1" customFormat="1" ht="34.5" customHeight="1" x14ac:dyDescent="0.2">
      <c r="B22" s="59" t="s">
        <v>62</v>
      </c>
      <c r="C22" s="60"/>
      <c r="D22" s="52"/>
      <c r="E22" s="41"/>
      <c r="F22" s="44"/>
      <c r="H22" s="8"/>
    </row>
    <row r="23" spans="2:8" s="1" customFormat="1" ht="20.100000000000001" customHeight="1" x14ac:dyDescent="0.2">
      <c r="B23" s="59" t="s">
        <v>65</v>
      </c>
      <c r="C23" s="60"/>
      <c r="D23" s="52">
        <v>600</v>
      </c>
      <c r="E23" s="41" t="s">
        <v>68</v>
      </c>
      <c r="F23" s="44">
        <v>300</v>
      </c>
    </row>
    <row r="24" spans="2:8" s="1" customFormat="1" ht="20.100000000000001" customHeight="1" x14ac:dyDescent="0.2">
      <c r="B24" s="61"/>
      <c r="C24" s="56"/>
      <c r="D24" s="36"/>
      <c r="E24" s="41"/>
      <c r="F24" s="44"/>
    </row>
    <row r="25" spans="2:8" s="1" customFormat="1" ht="20.100000000000001" customHeight="1" x14ac:dyDescent="0.2">
      <c r="B25" s="61"/>
      <c r="C25" s="56"/>
      <c r="D25" s="36"/>
      <c r="E25" s="41"/>
      <c r="F25" s="44"/>
    </row>
    <row r="26" spans="2:8" s="1" customFormat="1" ht="20.100000000000001" customHeight="1" x14ac:dyDescent="0.2">
      <c r="B26" s="61"/>
      <c r="C26" s="56"/>
      <c r="D26" s="36"/>
      <c r="E26" s="41"/>
      <c r="F26" s="44"/>
    </row>
    <row r="27" spans="2:8" s="1" customFormat="1" ht="20.100000000000001" customHeight="1" x14ac:dyDescent="0.2">
      <c r="B27" s="61"/>
      <c r="C27" s="56"/>
      <c r="D27" s="36"/>
      <c r="E27" s="41"/>
      <c r="F27" s="44"/>
    </row>
    <row r="28" spans="2:8" s="1" customFormat="1" ht="20.25" customHeight="1" x14ac:dyDescent="0.2">
      <c r="B28" s="55"/>
      <c r="C28" s="56"/>
      <c r="D28" s="36"/>
      <c r="E28" s="41"/>
      <c r="F28" s="44"/>
    </row>
    <row r="29" spans="2:8" s="1" customFormat="1" ht="20.100000000000001" customHeight="1" x14ac:dyDescent="0.2">
      <c r="B29" s="57"/>
      <c r="C29" s="58"/>
      <c r="D29" s="39"/>
      <c r="E29" s="42"/>
      <c r="F29" s="45"/>
    </row>
    <row r="30" spans="2:8" s="1" customFormat="1" ht="20.100000000000001" customHeight="1" x14ac:dyDescent="0.2">
      <c r="B30" s="7"/>
      <c r="C30" s="6"/>
      <c r="D30" s="6"/>
      <c r="E30" s="15" t="s">
        <v>5</v>
      </c>
      <c r="F30" s="46">
        <f>SUM(F20:F29)</f>
        <v>1400</v>
      </c>
    </row>
    <row r="31" spans="2:8" s="1" customFormat="1" ht="20.100000000000001" customHeight="1" x14ac:dyDescent="0.2">
      <c r="B31" s="7"/>
      <c r="C31" s="6"/>
      <c r="D31" s="6"/>
      <c r="E31" s="15" t="s">
        <v>1</v>
      </c>
      <c r="F31" s="47">
        <v>0.19</v>
      </c>
    </row>
    <row r="32" spans="2:8" s="1" customFormat="1" ht="20.100000000000001" customHeight="1" x14ac:dyDescent="0.2">
      <c r="B32" s="7"/>
      <c r="C32" s="6"/>
      <c r="D32" s="6"/>
      <c r="E32" s="15" t="s">
        <v>2</v>
      </c>
      <c r="F32" s="46">
        <f>F30*F31</f>
        <v>266</v>
      </c>
    </row>
    <row r="33" spans="1:9" s="1" customFormat="1" ht="20.100000000000001" customHeight="1" x14ac:dyDescent="0.2">
      <c r="B33" s="7"/>
      <c r="C33" s="6"/>
      <c r="D33" s="6"/>
      <c r="E33" s="15" t="s">
        <v>3</v>
      </c>
      <c r="F33" s="48">
        <f>F30+F32</f>
        <v>1666</v>
      </c>
    </row>
    <row r="34" spans="1:9" s="1" customFormat="1" ht="20.100000000000001" customHeight="1" x14ac:dyDescent="0.2">
      <c r="B34" s="6"/>
      <c r="C34" s="6"/>
      <c r="D34" s="6"/>
      <c r="E34" s="15" t="s">
        <v>4</v>
      </c>
      <c r="F34" s="44">
        <v>1</v>
      </c>
    </row>
    <row r="35" spans="1:9" s="1" customFormat="1" ht="20.100000000000001" customHeight="1" x14ac:dyDescent="0.2">
      <c r="B35"/>
      <c r="C35"/>
      <c r="D35"/>
      <c r="E35" s="15" t="s">
        <v>19</v>
      </c>
      <c r="F35" s="49">
        <f>F33+F34</f>
        <v>1667</v>
      </c>
    </row>
    <row r="36" spans="1:9" s="1" customFormat="1" ht="20.100000000000001" customHeight="1" x14ac:dyDescent="0.2">
      <c r="B36"/>
      <c r="C36"/>
      <c r="D36"/>
      <c r="E36" s="15"/>
      <c r="F36" s="15"/>
    </row>
    <row r="37" spans="1:9" s="1" customFormat="1" ht="32.25" customHeight="1" x14ac:dyDescent="0.2">
      <c r="A37" s="16" t="s">
        <v>69</v>
      </c>
      <c r="B37" s="11"/>
      <c r="C37" s="11"/>
      <c r="D37" s="11"/>
      <c r="E37" s="37"/>
      <c r="F37" s="37"/>
    </row>
    <row r="43" spans="1:9" x14ac:dyDescent="0.2">
      <c r="I43" s="18"/>
    </row>
    <row r="50" spans="2:6" ht="21" customHeight="1" x14ac:dyDescent="0.3">
      <c r="B50" s="50" t="s">
        <v>56</v>
      </c>
      <c r="E50" s="14"/>
      <c r="F50" s="13"/>
    </row>
    <row r="51" spans="2:6" ht="21" customHeight="1" x14ac:dyDescent="0.3">
      <c r="B51" s="50" t="s">
        <v>57</v>
      </c>
      <c r="E51" s="14"/>
      <c r="F51" s="13"/>
    </row>
    <row r="52" spans="2:6" ht="21" customHeight="1" x14ac:dyDescent="0.2">
      <c r="E52" s="14"/>
      <c r="F52" s="13"/>
    </row>
    <row r="53" spans="2:6" ht="21" customHeight="1" x14ac:dyDescent="0.2">
      <c r="E53" s="14"/>
      <c r="F53" s="13"/>
    </row>
  </sheetData>
  <mergeCells count="13">
    <mergeCell ref="C5:E7"/>
    <mergeCell ref="B28:C28"/>
    <mergeCell ref="B29:C29"/>
    <mergeCell ref="B22:C22"/>
    <mergeCell ref="B23:C23"/>
    <mergeCell ref="B24:C24"/>
    <mergeCell ref="B25:C25"/>
    <mergeCell ref="B26:C26"/>
    <mergeCell ref="B27:C27"/>
    <mergeCell ref="B21:C21"/>
    <mergeCell ref="A8:F8"/>
    <mergeCell ref="B19:C19"/>
    <mergeCell ref="B20:C20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TPCTECHNIQUE</cp:lastModifiedBy>
  <cp:lastPrinted>2023-04-12T09:22:37Z</cp:lastPrinted>
  <dcterms:created xsi:type="dcterms:W3CDTF">2000-07-27T22:20:36Z</dcterms:created>
  <dcterms:modified xsi:type="dcterms:W3CDTF">2023-05-08T13:34:13Z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