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1245" yWindow="525" windowWidth="12075" windowHeight="7185" tabRatio="675" activeTab="1"/>
  </bookViews>
  <sheets>
    <sheet name="recap" sheetId="32" r:id="rId1"/>
    <sheet name="fac 13" sheetId="11" r:id="rId2"/>
    <sheet name="Feuil1" sheetId="33" r:id="rId3"/>
  </sheets>
  <definedNames>
    <definedName name="_xlnm._FilterDatabase" localSheetId="0" hidden="1">recap!$A$1:$H$27</definedName>
  </definedNames>
  <calcPr calcId="124519"/>
</workbook>
</file>

<file path=xl/calcChain.xml><?xml version="1.0" encoding="utf-8"?>
<calcChain xmlns="http://schemas.openxmlformats.org/spreadsheetml/2006/main">
  <c r="F22" i="11"/>
  <c r="G25" i="32"/>
  <c r="D29"/>
  <c r="F31" i="11" l="1"/>
  <c r="F33" s="1"/>
  <c r="E2" i="32"/>
  <c r="H2" s="1"/>
  <c r="F34" i="11" l="1"/>
  <c r="F36" s="1"/>
  <c r="D25" i="32"/>
  <c r="F2"/>
  <c r="E25" l="1"/>
  <c r="F27"/>
  <c r="F25"/>
</calcChain>
</file>

<file path=xl/sharedStrings.xml><?xml version="1.0" encoding="utf-8"?>
<sst xmlns="http://schemas.openxmlformats.org/spreadsheetml/2006/main" count="69" uniqueCount="67">
  <si>
    <t>DESCRIPTION</t>
  </si>
  <si>
    <t>TAUX DE T.V.A.</t>
  </si>
  <si>
    <t>T.V.A.</t>
  </si>
  <si>
    <t>T.T.C</t>
  </si>
  <si>
    <t>DROIT DE TIMBRE</t>
  </si>
  <si>
    <t>TOTAL H.T.</t>
  </si>
  <si>
    <t>Matricule Fiscale:</t>
  </si>
  <si>
    <t>Adresse:</t>
  </si>
  <si>
    <t>Client:</t>
  </si>
  <si>
    <t>Date:</t>
  </si>
  <si>
    <t>N° Facture</t>
  </si>
  <si>
    <t>Date</t>
  </si>
  <si>
    <t>Client</t>
  </si>
  <si>
    <t>Montant</t>
  </si>
  <si>
    <t>TVA</t>
  </si>
  <si>
    <t>RAS</t>
  </si>
  <si>
    <t>CERTIFICAT</t>
  </si>
  <si>
    <t>Charges</t>
  </si>
  <si>
    <t>Déductions communes</t>
  </si>
  <si>
    <t>TOTAL NOTE D'HONORAIRES</t>
  </si>
  <si>
    <t>AP</t>
  </si>
  <si>
    <t>STE DE PROMOTION IMM,DIAR OMAR</t>
  </si>
  <si>
    <t>FN 01/20</t>
  </si>
  <si>
    <t>FN 02/20</t>
  </si>
  <si>
    <t>STE ASTARTE</t>
  </si>
  <si>
    <t>FN 03/20</t>
  </si>
  <si>
    <t>STE LA LUMIERE LOGISTIQUE</t>
  </si>
  <si>
    <t>FN 04/20</t>
  </si>
  <si>
    <t>STE SGF DARTAEIB</t>
  </si>
  <si>
    <t>FN 05/20</t>
  </si>
  <si>
    <t>FN 06/20</t>
  </si>
  <si>
    <t>FN 07/20</t>
  </si>
  <si>
    <t>FN 08/20</t>
  </si>
  <si>
    <t>FN 09/20</t>
  </si>
  <si>
    <t>FN 10/20</t>
  </si>
  <si>
    <t>FN 11/20</t>
  </si>
  <si>
    <t>FN 12/20</t>
  </si>
  <si>
    <t>FN 13/20</t>
  </si>
  <si>
    <t>FN 14/20</t>
  </si>
  <si>
    <t>FN 15/20</t>
  </si>
  <si>
    <t>FN 16/20</t>
  </si>
  <si>
    <t>FN 17/20</t>
  </si>
  <si>
    <t>FN 18/20</t>
  </si>
  <si>
    <t>FN 19/20</t>
  </si>
  <si>
    <t>FN 20/20</t>
  </si>
  <si>
    <t>FN 21/20</t>
  </si>
  <si>
    <t>FN 22/20</t>
  </si>
  <si>
    <t>STE FGCI</t>
  </si>
  <si>
    <t>ECOLE CANADIENNE</t>
  </si>
  <si>
    <t>STE FIORENTINI TUNISIE</t>
  </si>
  <si>
    <t>STE SOTRADIS</t>
  </si>
  <si>
    <t>STE GAM</t>
  </si>
  <si>
    <t>HOTEL KARMEL</t>
  </si>
  <si>
    <t>P,U,H,T</t>
  </si>
  <si>
    <t>P,T,H,T</t>
  </si>
  <si>
    <t>QTE</t>
  </si>
  <si>
    <t>Exonoration :</t>
  </si>
  <si>
    <t xml:space="preserve">          LA DIRECTION </t>
  </si>
  <si>
    <t xml:space="preserve">                 TPC</t>
  </si>
  <si>
    <t>,,,,,,,,,,,,,,,,,,,</t>
  </si>
  <si>
    <t>STE REVOLON</t>
  </si>
  <si>
    <t>92,AV,DE CARTHAGE-TUNIS</t>
  </si>
  <si>
    <t>Contrôle réglementaires des appareils de levages</t>
  </si>
  <si>
    <t>1-Nacelle elevatrice</t>
  </si>
  <si>
    <t>FACTURE 93/2023</t>
  </si>
  <si>
    <t>120,000</t>
  </si>
  <si>
    <t xml:space="preserve">                          Arrêtée la présente facture à la somme de :  CINQ CENT SOIXANTE DOUZE DINARS ET 200 MILLIMES</t>
  </si>
</sst>
</file>

<file path=xl/styles.xml><?xml version="1.0" encoding="utf-8"?>
<styleSheet xmlns="http://schemas.openxmlformats.org/spreadsheetml/2006/main">
  <numFmts count="5">
    <numFmt numFmtId="43" formatCode="_-* #,##0.00\ _€_-;\-* #,##0.00\ _€_-;_-* &quot;-&quot;??\ _€_-;_-@_-"/>
    <numFmt numFmtId="164" formatCode="@\ \ "/>
    <numFmt numFmtId="165" formatCode="[$-40C]d\ mmmm\ yyyy;@"/>
    <numFmt numFmtId="166" formatCode="#,##0.000"/>
    <numFmt numFmtId="167" formatCode="[$-40C]d\-mmm\-yy;@"/>
  </numFmts>
  <fonts count="25">
    <font>
      <sz val="10"/>
      <name val="Arial"/>
    </font>
    <font>
      <sz val="10"/>
      <name val="Arial"/>
      <family val="2"/>
    </font>
    <font>
      <b/>
      <sz val="20"/>
      <name val="Arial"/>
      <family val="2"/>
    </font>
    <font>
      <sz val="9"/>
      <color indexed="63"/>
      <name val="Arial"/>
      <family val="2"/>
    </font>
    <font>
      <b/>
      <i/>
      <sz val="11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i/>
      <sz val="12"/>
      <color indexed="12"/>
      <name val="Arial"/>
      <family val="2"/>
    </font>
    <font>
      <sz val="12"/>
      <color indexed="63"/>
      <name val="Book Antiqua"/>
      <family val="1"/>
    </font>
    <font>
      <i/>
      <sz val="12"/>
      <color indexed="12"/>
      <name val="Book Antiqua"/>
      <family val="1"/>
    </font>
    <font>
      <sz val="11"/>
      <name val="Arial"/>
      <family val="2"/>
    </font>
    <font>
      <b/>
      <i/>
      <sz val="9"/>
      <color theme="4" tint="-0.249977111117893"/>
      <name val="Arial"/>
      <family val="2"/>
    </font>
    <font>
      <b/>
      <i/>
      <sz val="12"/>
      <color theme="4" tint="-0.249977111117893"/>
      <name val="Arial"/>
      <family val="2"/>
    </font>
    <font>
      <sz val="16"/>
      <color theme="4" tint="-0.249977111117893"/>
      <name val="Book Antiqua"/>
      <family val="1"/>
    </font>
    <font>
      <b/>
      <i/>
      <sz val="12"/>
      <color theme="4" tint="-0.249977111117893"/>
      <name val="Book Antiqua"/>
      <family val="1"/>
    </font>
    <font>
      <b/>
      <sz val="10"/>
      <color theme="4" tint="-0.249977111117893"/>
      <name val="Arial"/>
      <family val="2"/>
    </font>
    <font>
      <b/>
      <i/>
      <sz val="10"/>
      <color theme="3" tint="-0.249977111117893"/>
      <name val="Arial"/>
      <family val="2"/>
    </font>
    <font>
      <sz val="10"/>
      <name val="Arial"/>
      <family val="2"/>
    </font>
    <font>
      <b/>
      <sz val="10"/>
      <name val="Book Antiqua"/>
      <family val="1"/>
    </font>
    <font>
      <sz val="10"/>
      <name val="Book Antiqua"/>
      <family val="1"/>
    </font>
    <font>
      <b/>
      <sz val="10"/>
      <color theme="3"/>
      <name val="Book Antiqua"/>
      <family val="1"/>
    </font>
    <font>
      <b/>
      <sz val="10"/>
      <color rgb="FFFF0000"/>
      <name val="Book Antiqua"/>
      <family val="1"/>
    </font>
    <font>
      <sz val="10"/>
      <color theme="4" tint="-0.249977111117893"/>
      <name val="Arial"/>
      <family val="2"/>
    </font>
    <font>
      <b/>
      <sz val="16"/>
      <name val="Arial"/>
      <family val="2"/>
    </font>
    <font>
      <b/>
      <sz val="12"/>
      <name val="Georgia"/>
      <family val="1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4" tint="-0.24994659260841701"/>
      </right>
      <top/>
      <bottom/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55"/>
      </bottom>
      <diagonal/>
    </border>
    <border>
      <left/>
      <right/>
      <top style="thin">
        <color indexed="64"/>
      </top>
      <bottom style="thin">
        <color indexed="55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55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55"/>
      </bottom>
      <diagonal/>
    </border>
  </borders>
  <cellStyleXfs count="4">
    <xf numFmtId="0" fontId="0" fillId="0" borderId="0"/>
    <xf numFmtId="9" fontId="17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2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165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Alignment="1"/>
    <xf numFmtId="0" fontId="8" fillId="0" borderId="0" xfId="0" applyFont="1" applyAlignment="1">
      <alignment horizontal="left" wrapText="1"/>
    </xf>
    <xf numFmtId="0" fontId="1" fillId="0" borderId="0" xfId="0" applyFont="1"/>
    <xf numFmtId="0" fontId="0" fillId="0" borderId="2" xfId="0" applyBorder="1"/>
    <xf numFmtId="164" fontId="11" fillId="0" borderId="0" xfId="0" applyNumberFormat="1" applyFont="1" applyAlignment="1">
      <alignment horizontal="right" vertical="center"/>
    </xf>
    <xf numFmtId="0" fontId="12" fillId="0" borderId="0" xfId="0" applyFont="1" applyAlignment="1"/>
    <xf numFmtId="0" fontId="8" fillId="0" borderId="0" xfId="0" applyFont="1" applyBorder="1" applyAlignment="1">
      <alignment horizontal="left" wrapText="1"/>
    </xf>
    <xf numFmtId="166" fontId="0" fillId="0" borderId="0" xfId="0" applyNumberFormat="1"/>
    <xf numFmtId="0" fontId="14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4" fillId="0" borderId="0" xfId="0" applyFont="1" applyAlignment="1">
      <alignment horizontal="right" vertical="center"/>
    </xf>
    <xf numFmtId="167" fontId="0" fillId="0" borderId="0" xfId="0" applyNumberFormat="1"/>
    <xf numFmtId="0" fontId="18" fillId="0" borderId="1" xfId="0" applyFont="1" applyBorder="1"/>
    <xf numFmtId="167" fontId="18" fillId="0" borderId="1" xfId="0" applyNumberFormat="1" applyFont="1" applyBorder="1"/>
    <xf numFmtId="166" fontId="19" fillId="0" borderId="1" xfId="0" applyNumberFormat="1" applyFont="1" applyBorder="1"/>
    <xf numFmtId="0" fontId="20" fillId="4" borderId="1" xfId="0" applyFont="1" applyFill="1" applyBorder="1"/>
    <xf numFmtId="166" fontId="20" fillId="4" borderId="1" xfId="0" applyNumberFormat="1" applyFont="1" applyFill="1" applyBorder="1"/>
    <xf numFmtId="166" fontId="21" fillId="4" borderId="1" xfId="0" applyNumberFormat="1" applyFont="1" applyFill="1" applyBorder="1"/>
    <xf numFmtId="9" fontId="20" fillId="4" borderId="1" xfId="1" applyFont="1" applyFill="1" applyBorder="1"/>
    <xf numFmtId="166" fontId="19" fillId="0" borderId="1" xfId="0" applyNumberFormat="1" applyFont="1" applyFill="1" applyBorder="1"/>
    <xf numFmtId="0" fontId="19" fillId="0" borderId="1" xfId="0" applyFont="1" applyFill="1" applyBorder="1"/>
    <xf numFmtId="167" fontId="19" fillId="0" borderId="1" xfId="0" applyNumberFormat="1" applyFont="1" applyFill="1" applyBorder="1"/>
    <xf numFmtId="0" fontId="14" fillId="0" borderId="0" xfId="0" applyFont="1" applyAlignment="1">
      <alignment horizontal="right" vertical="top"/>
    </xf>
    <xf numFmtId="17" fontId="19" fillId="0" borderId="1" xfId="0" applyNumberFormat="1" applyFont="1" applyFill="1" applyBorder="1"/>
    <xf numFmtId="0" fontId="16" fillId="0" borderId="0" xfId="0" applyFont="1" applyFill="1" applyBorder="1" applyAlignment="1">
      <alignment vertical="center"/>
    </xf>
    <xf numFmtId="0" fontId="10" fillId="0" borderId="3" xfId="0" applyFont="1" applyFill="1" applyBorder="1" applyAlignment="1">
      <alignment horizontal="left" vertical="center"/>
    </xf>
    <xf numFmtId="0" fontId="4" fillId="0" borderId="0" xfId="0" applyFont="1" applyAlignment="1">
      <alignment wrapText="1" shrinkToFit="1"/>
    </xf>
    <xf numFmtId="0" fontId="22" fillId="2" borderId="5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left" vertical="center"/>
    </xf>
    <xf numFmtId="0" fontId="15" fillId="2" borderId="4" xfId="0" applyFont="1" applyFill="1" applyBorder="1" applyAlignment="1">
      <alignment horizontal="center" vertical="center"/>
    </xf>
    <xf numFmtId="49" fontId="10" fillId="0" borderId="12" xfId="0" applyNumberFormat="1" applyFont="1" applyFill="1" applyBorder="1" applyAlignment="1">
      <alignment horizontal="center" vertical="center"/>
    </xf>
    <xf numFmtId="49" fontId="10" fillId="0" borderId="13" xfId="0" applyNumberFormat="1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166" fontId="10" fillId="0" borderId="15" xfId="0" applyNumberFormat="1" applyFont="1" applyFill="1" applyBorder="1" applyAlignment="1">
      <alignment horizontal="right" vertical="center"/>
    </xf>
    <xf numFmtId="166" fontId="10" fillId="0" borderId="16" xfId="0" applyNumberFormat="1" applyFont="1" applyFill="1" applyBorder="1" applyAlignment="1">
      <alignment horizontal="right" vertical="center"/>
    </xf>
    <xf numFmtId="166" fontId="10" fillId="2" borderId="15" xfId="0" applyNumberFormat="1" applyFont="1" applyFill="1" applyBorder="1" applyAlignment="1">
      <alignment horizontal="right" vertical="center"/>
    </xf>
    <xf numFmtId="9" fontId="10" fillId="0" borderId="15" xfId="0" applyNumberFormat="1" applyFont="1" applyBorder="1" applyAlignment="1">
      <alignment horizontal="right" vertical="center"/>
    </xf>
    <xf numFmtId="166" fontId="10" fillId="0" borderId="15" xfId="0" applyNumberFormat="1" applyFont="1" applyBorder="1" applyAlignment="1">
      <alignment horizontal="right" vertical="center"/>
    </xf>
    <xf numFmtId="166" fontId="10" fillId="3" borderId="16" xfId="0" applyNumberFormat="1" applyFont="1" applyFill="1" applyBorder="1" applyAlignment="1">
      <alignment horizontal="right" vertical="center"/>
    </xf>
    <xf numFmtId="0" fontId="23" fillId="0" borderId="0" xfId="0" applyFont="1"/>
    <xf numFmtId="0" fontId="24" fillId="0" borderId="0" xfId="0" applyFont="1"/>
    <xf numFmtId="0" fontId="0" fillId="0" borderId="0" xfId="0" applyAlignment="1">
      <alignment horizontal="center"/>
    </xf>
    <xf numFmtId="0" fontId="10" fillId="0" borderId="6" xfId="0" applyFont="1" applyFill="1" applyBorder="1" applyAlignment="1">
      <alignment horizontal="left" vertical="center"/>
    </xf>
    <xf numFmtId="0" fontId="10" fillId="0" borderId="10" xfId="0" applyFont="1" applyFill="1" applyBorder="1" applyAlignment="1">
      <alignment horizontal="left" vertical="center"/>
    </xf>
    <xf numFmtId="0" fontId="10" fillId="0" borderId="7" xfId="0" applyFont="1" applyFill="1" applyBorder="1" applyAlignment="1">
      <alignment horizontal="left" vertical="center"/>
    </xf>
    <xf numFmtId="0" fontId="10" fillId="0" borderId="11" xfId="0" applyFont="1" applyFill="1" applyBorder="1" applyAlignment="1">
      <alignment horizontal="left" vertical="center"/>
    </xf>
    <xf numFmtId="0" fontId="10" fillId="0" borderId="17" xfId="0" applyFont="1" applyFill="1" applyBorder="1" applyAlignment="1">
      <alignment horizontal="left" vertical="center" wrapText="1"/>
    </xf>
    <xf numFmtId="0" fontId="10" fillId="0" borderId="18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</cellXfs>
  <cellStyles count="4">
    <cellStyle name="Milliers 2" xfId="3"/>
    <cellStyle name="Normal" xfId="0" builtinId="0"/>
    <cellStyle name="Normal 2" xfId="2"/>
    <cellStyle name="Pourcentage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CDCD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CBCB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40</xdr:row>
      <xdr:rowOff>123825</xdr:rowOff>
    </xdr:from>
    <xdr:to>
      <xdr:col>4</xdr:col>
      <xdr:colOff>504825</xdr:colOff>
      <xdr:row>48</xdr:row>
      <xdr:rowOff>104775</xdr:rowOff>
    </xdr:to>
    <xdr:sp macro="" textlink="">
      <xdr:nvSpPr>
        <xdr:cNvPr id="5" name="Text Box 5"/>
        <xdr:cNvSpPr txBox="1">
          <a:spLocks noChangeArrowheads="1"/>
        </xdr:cNvSpPr>
      </xdr:nvSpPr>
      <xdr:spPr bwMode="auto">
        <a:xfrm>
          <a:off x="981075" y="9944100"/>
          <a:ext cx="3533775" cy="1276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tous les chèques à l'ordre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TUNISIA POLYCONTROLS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Pour toute question concernant cette facture, veuillez  nous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contacter  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par e-mail :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1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tunisia.polycontrols.tpc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@gmail.com</a:t>
          </a:r>
        </a:p>
        <a:p>
          <a:pPr rtl="0"/>
          <a:endParaRPr lang="fr-FR" sz="1000" b="0" i="0" strike="noStrike">
            <a:solidFill>
              <a:srgbClr val="333333"/>
            </a:solidFill>
            <a:latin typeface="Arial"/>
            <a:ea typeface="+mn-ea"/>
            <a:cs typeface="Arial"/>
          </a:endParaRP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les virements au nom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T.P.C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sur le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RIB N° 14 009 009 1017 00818 0 10</a:t>
          </a:r>
        </a:p>
        <a:p>
          <a:pPr rtl="0"/>
          <a:endParaRPr lang="fr-FR" sz="1000" b="1" i="0">
            <a:latin typeface="+mn-lt"/>
            <a:ea typeface="+mn-ea"/>
            <a:cs typeface="+mn-cs"/>
          </a:endParaRPr>
        </a:p>
        <a:p>
          <a:r>
            <a:rPr lang="fr-FR" sz="1400" b="1" i="1">
              <a:latin typeface="+mn-lt"/>
              <a:ea typeface="+mn-ea"/>
              <a:cs typeface="+mn-cs"/>
            </a:rPr>
            <a:t>MERCI DE VOTRE CONFIANCE</a:t>
          </a:r>
          <a:endParaRPr lang="fr-FR" sz="1400" b="1" i="1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9526</xdr:colOff>
      <xdr:row>48</xdr:row>
      <xdr:rowOff>152401</xdr:rowOff>
    </xdr:from>
    <xdr:to>
      <xdr:col>6</xdr:col>
      <xdr:colOff>1057275</xdr:colOff>
      <xdr:row>53</xdr:row>
      <xdr:rowOff>247650</xdr:rowOff>
    </xdr:to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6315076" y="10696576"/>
          <a:ext cx="2724149" cy="12191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r>
            <a:rPr lang="fr-FR" sz="1100" b="1">
              <a:latin typeface="+mn-lt"/>
              <a:ea typeface="+mn-ea"/>
              <a:cs typeface="+mn-cs"/>
            </a:rPr>
            <a:t>T.P.C : TUNISIA POLYCONTROLS </a:t>
          </a:r>
          <a:endParaRPr lang="fr-FR" sz="1100">
            <a:latin typeface="+mn-lt"/>
            <a:ea typeface="+mn-ea"/>
            <a:cs typeface="+mn-cs"/>
          </a:endParaRPr>
        </a:p>
        <a:p>
          <a:r>
            <a:rPr lang="fr-FR" sz="1100">
              <a:latin typeface="+mn-lt"/>
              <a:ea typeface="+mn-ea"/>
              <a:cs typeface="+mn-cs"/>
            </a:rPr>
            <a:t>S.A.R.L. au capital de 20.000 DT – Code T.V.A : 1426729 H/A/M/000-R.C.: B 2621285205  </a:t>
          </a:r>
        </a:p>
        <a:p>
          <a:r>
            <a:rPr lang="fr-FR" sz="1100" b="1">
              <a:latin typeface="+mn-lt"/>
              <a:ea typeface="+mn-ea"/>
              <a:cs typeface="+mn-cs"/>
            </a:rPr>
            <a:t>Siège Social : </a:t>
          </a:r>
          <a:r>
            <a:rPr lang="fr-FR" sz="1100">
              <a:latin typeface="+mn-lt"/>
              <a:ea typeface="+mn-ea"/>
              <a:cs typeface="+mn-cs"/>
            </a:rPr>
            <a:t>5 rue Benghazi-bureau 4-5 ,4eme étage-1002 Tunis </a:t>
          </a:r>
          <a:r>
            <a:rPr lang="fr-FR" sz="1100" b="1">
              <a:latin typeface="+mn-lt"/>
              <a:ea typeface="+mn-ea"/>
              <a:cs typeface="+mn-cs"/>
            </a:rPr>
            <a:t> </a:t>
          </a:r>
          <a:r>
            <a:rPr lang="fr-FR" sz="800"/>
            <a:t> </a:t>
          </a:r>
          <a:r>
            <a:rPr lang="fr-FR" sz="1100" b="1">
              <a:latin typeface="+mn-lt"/>
              <a:ea typeface="+mn-ea"/>
              <a:cs typeface="+mn-cs"/>
            </a:rPr>
            <a:t>Tél :36 131 731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GSM : </a:t>
          </a:r>
          <a:r>
            <a:rPr lang="fr-FR" sz="1100">
              <a:latin typeface="+mn-lt"/>
              <a:ea typeface="+mn-ea"/>
              <a:cs typeface="+mn-cs"/>
            </a:rPr>
            <a:t>24 131 544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E.Mail </a:t>
          </a:r>
          <a:r>
            <a:rPr lang="fr-FR" sz="1100">
              <a:latin typeface="+mn-lt"/>
              <a:ea typeface="+mn-ea"/>
              <a:cs typeface="+mn-cs"/>
            </a:rPr>
            <a:t>tunisia.polycontrols.tpc@gmail.com</a:t>
          </a:r>
        </a:p>
      </xdr:txBody>
    </xdr:sp>
    <xdr:clientData/>
  </xdr:twoCellAnchor>
  <xdr:twoCellAnchor>
    <xdr:from>
      <xdr:col>0</xdr:col>
      <xdr:colOff>209550</xdr:colOff>
      <xdr:row>0</xdr:row>
      <xdr:rowOff>133350</xdr:rowOff>
    </xdr:from>
    <xdr:to>
      <xdr:col>1</xdr:col>
      <xdr:colOff>762000</xdr:colOff>
      <xdr:row>7</xdr:row>
      <xdr:rowOff>200025</xdr:rowOff>
    </xdr:to>
    <xdr:grpSp>
      <xdr:nvGrpSpPr>
        <xdr:cNvPr id="1025" name="Group 1"/>
        <xdr:cNvGrpSpPr>
          <a:grpSpLocks/>
        </xdr:cNvGrpSpPr>
      </xdr:nvGrpSpPr>
      <xdr:grpSpPr bwMode="auto">
        <a:xfrm>
          <a:off x="209550" y="133350"/>
          <a:ext cx="1295400" cy="1133475"/>
          <a:chOff x="2208" y="2340"/>
          <a:chExt cx="4412" cy="3520"/>
        </a:xfrm>
      </xdr:grpSpPr>
      <xdr:sp macro="" textlink="">
        <xdr:nvSpPr>
          <xdr:cNvPr id="1026" name="WS_polygon31"/>
          <xdr:cNvSpPr>
            <a:spLocks noChangeArrowheads="1"/>
          </xdr:cNvSpPr>
        </xdr:nvSpPr>
        <xdr:spPr bwMode="auto">
          <a:xfrm>
            <a:off x="2208" y="5086"/>
            <a:ext cx="209" cy="248"/>
          </a:xfrm>
          <a:custGeom>
            <a:avLst/>
            <a:gdLst>
              <a:gd name="T0" fmla="*/ 367 w 1046"/>
              <a:gd name="T1" fmla="*/ 1242 h 1242"/>
              <a:gd name="T2" fmla="*/ 367 w 1046"/>
              <a:gd name="T3" fmla="*/ 1242 h 1242"/>
              <a:gd name="T4" fmla="*/ 367 w 1046"/>
              <a:gd name="T5" fmla="*/ 237 h 1242"/>
              <a:gd name="T6" fmla="*/ 367 w 1046"/>
              <a:gd name="T7" fmla="*/ 237 h 1242"/>
              <a:gd name="T8" fmla="*/ 0 w 1046"/>
              <a:gd name="T9" fmla="*/ 237 h 1242"/>
              <a:gd name="T10" fmla="*/ 0 w 1046"/>
              <a:gd name="T11" fmla="*/ 237 h 1242"/>
              <a:gd name="T12" fmla="*/ 0 w 1046"/>
              <a:gd name="T13" fmla="*/ 0 h 1242"/>
              <a:gd name="T14" fmla="*/ 0 w 1046"/>
              <a:gd name="T15" fmla="*/ 0 h 1242"/>
              <a:gd name="T16" fmla="*/ 1046 w 1046"/>
              <a:gd name="T17" fmla="*/ 0 h 1242"/>
              <a:gd name="T18" fmla="*/ 1046 w 1046"/>
              <a:gd name="T19" fmla="*/ 0 h 1242"/>
              <a:gd name="T20" fmla="*/ 1046 w 1046"/>
              <a:gd name="T21" fmla="*/ 237 h 1242"/>
              <a:gd name="T22" fmla="*/ 1046 w 1046"/>
              <a:gd name="T23" fmla="*/ 237 h 1242"/>
              <a:gd name="T24" fmla="*/ 679 w 1046"/>
              <a:gd name="T25" fmla="*/ 237 h 1242"/>
              <a:gd name="T26" fmla="*/ 679 w 1046"/>
              <a:gd name="T27" fmla="*/ 237 h 1242"/>
              <a:gd name="T28" fmla="*/ 679 w 1046"/>
              <a:gd name="T29" fmla="*/ 1242 h 1242"/>
              <a:gd name="T30" fmla="*/ 679 w 1046"/>
              <a:gd name="T31" fmla="*/ 1242 h 1242"/>
              <a:gd name="T32" fmla="*/ 367 w 1046"/>
              <a:gd name="T33" fmla="*/ 1242 h 124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046" h="1242">
                <a:moveTo>
                  <a:pt x="367" y="1242"/>
                </a:moveTo>
                <a:lnTo>
                  <a:pt x="367" y="1242"/>
                </a:lnTo>
                <a:lnTo>
                  <a:pt x="367" y="237"/>
                </a:lnTo>
                <a:lnTo>
                  <a:pt x="367" y="237"/>
                </a:lnTo>
                <a:lnTo>
                  <a:pt x="0" y="237"/>
                </a:lnTo>
                <a:lnTo>
                  <a:pt x="0" y="237"/>
                </a:lnTo>
                <a:lnTo>
                  <a:pt x="0" y="0"/>
                </a:lnTo>
                <a:lnTo>
                  <a:pt x="0" y="0"/>
                </a:lnTo>
                <a:lnTo>
                  <a:pt x="1046" y="0"/>
                </a:lnTo>
                <a:lnTo>
                  <a:pt x="1046" y="0"/>
                </a:lnTo>
                <a:lnTo>
                  <a:pt x="1046" y="237"/>
                </a:lnTo>
                <a:lnTo>
                  <a:pt x="1046" y="237"/>
                </a:lnTo>
                <a:lnTo>
                  <a:pt x="679" y="237"/>
                </a:lnTo>
                <a:lnTo>
                  <a:pt x="679" y="237"/>
                </a:lnTo>
                <a:lnTo>
                  <a:pt x="679" y="1242"/>
                </a:lnTo>
                <a:lnTo>
                  <a:pt x="679" y="1242"/>
                </a:lnTo>
                <a:lnTo>
                  <a:pt x="367" y="1242"/>
                </a:ln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1027" name="WS_polygon32"/>
          <xdr:cNvSpPr>
            <a:spLocks noChangeArrowheads="1"/>
          </xdr:cNvSpPr>
        </xdr:nvSpPr>
        <xdr:spPr bwMode="auto">
          <a:xfrm>
            <a:off x="2439" y="5086"/>
            <a:ext cx="208" cy="254"/>
          </a:xfrm>
          <a:custGeom>
            <a:avLst/>
            <a:gdLst/>
            <a:ahLst/>
            <a:cxnLst>
              <a:cxn ang="0">
                <a:pos x="471" y="1266"/>
              </a:cxn>
              <a:cxn ang="0">
                <a:pos x="338" y="1248"/>
              </a:cxn>
              <a:cxn ang="0">
                <a:pos x="226" y="1208"/>
              </a:cxn>
              <a:cxn ang="0">
                <a:pos x="135" y="1147"/>
              </a:cxn>
              <a:cxn ang="0">
                <a:pos x="76" y="1079"/>
              </a:cxn>
              <a:cxn ang="0">
                <a:pos x="27" y="980"/>
              </a:cxn>
              <a:cxn ang="0">
                <a:pos x="3" y="860"/>
              </a:cxn>
              <a:cxn ang="0">
                <a:pos x="0" y="793"/>
              </a:cxn>
              <a:cxn ang="0">
                <a:pos x="0" y="0"/>
              </a:cxn>
              <a:cxn ang="0">
                <a:pos x="312" y="0"/>
              </a:cxn>
              <a:cxn ang="0">
                <a:pos x="312" y="800"/>
              </a:cxn>
              <a:cxn ang="0">
                <a:pos x="320" y="868"/>
              </a:cxn>
              <a:cxn ang="0">
                <a:pos x="336" y="923"/>
              </a:cxn>
              <a:cxn ang="0">
                <a:pos x="361" y="967"/>
              </a:cxn>
              <a:cxn ang="0">
                <a:pos x="389" y="995"/>
              </a:cxn>
              <a:cxn ang="0">
                <a:pos x="433" y="1018"/>
              </a:cxn>
              <a:cxn ang="0">
                <a:pos x="488" y="1029"/>
              </a:cxn>
              <a:cxn ang="0">
                <a:pos x="540" y="1030"/>
              </a:cxn>
              <a:cxn ang="0">
                <a:pos x="596" y="1021"/>
              </a:cxn>
              <a:cxn ang="0">
                <a:pos x="642" y="1001"/>
              </a:cxn>
              <a:cxn ang="0">
                <a:pos x="678" y="970"/>
              </a:cxn>
              <a:cxn ang="0">
                <a:pos x="700" y="935"/>
              </a:cxn>
              <a:cxn ang="0">
                <a:pos x="718" y="881"/>
              </a:cxn>
              <a:cxn ang="0">
                <a:pos x="727" y="813"/>
              </a:cxn>
              <a:cxn ang="0">
                <a:pos x="728" y="775"/>
              </a:cxn>
              <a:cxn ang="0">
                <a:pos x="728" y="0"/>
              </a:cxn>
              <a:cxn ang="0">
                <a:pos x="1040" y="0"/>
              </a:cxn>
              <a:cxn ang="0">
                <a:pos x="1038" y="837"/>
              </a:cxn>
              <a:cxn ang="0">
                <a:pos x="1019" y="959"/>
              </a:cxn>
              <a:cxn ang="0">
                <a:pos x="976" y="1061"/>
              </a:cxn>
              <a:cxn ang="0">
                <a:pos x="909" y="1145"/>
              </a:cxn>
              <a:cxn ang="0">
                <a:pos x="835" y="1198"/>
              </a:cxn>
              <a:cxn ang="0">
                <a:pos x="726" y="1243"/>
              </a:cxn>
              <a:cxn ang="0">
                <a:pos x="594" y="1265"/>
              </a:cxn>
            </a:cxnLst>
            <a:rect l="0" t="0" r="r" b="b"/>
            <a:pathLst>
              <a:path w="1040" h="1268">
                <a:moveTo>
                  <a:pt x="519" y="1268"/>
                </a:moveTo>
                <a:cubicBezTo>
                  <a:pt x="519" y="1268"/>
                  <a:pt x="495" y="1267"/>
                  <a:pt x="471" y="1266"/>
                </a:cubicBezTo>
                <a:cubicBezTo>
                  <a:pt x="447" y="1265"/>
                  <a:pt x="424" y="1263"/>
                  <a:pt x="402" y="1260"/>
                </a:cubicBezTo>
                <a:cubicBezTo>
                  <a:pt x="380" y="1257"/>
                  <a:pt x="359" y="1253"/>
                  <a:pt x="338" y="1248"/>
                </a:cubicBezTo>
                <a:cubicBezTo>
                  <a:pt x="318" y="1243"/>
                  <a:pt x="298" y="1237"/>
                  <a:pt x="279" y="1231"/>
                </a:cubicBezTo>
                <a:cubicBezTo>
                  <a:pt x="261" y="1224"/>
                  <a:pt x="243" y="1216"/>
                  <a:pt x="226" y="1208"/>
                </a:cubicBezTo>
                <a:cubicBezTo>
                  <a:pt x="209" y="1200"/>
                  <a:pt x="193" y="1190"/>
                  <a:pt x="178" y="1180"/>
                </a:cubicBezTo>
                <a:cubicBezTo>
                  <a:pt x="163" y="1170"/>
                  <a:pt x="148" y="1158"/>
                  <a:pt x="135" y="1147"/>
                </a:cubicBezTo>
                <a:cubicBezTo>
                  <a:pt x="135" y="1147"/>
                  <a:pt x="122" y="1134"/>
                  <a:pt x="109" y="1121"/>
                </a:cubicBezTo>
                <a:cubicBezTo>
                  <a:pt x="97" y="1108"/>
                  <a:pt x="86" y="1094"/>
                  <a:pt x="76" y="1079"/>
                </a:cubicBezTo>
                <a:cubicBezTo>
                  <a:pt x="66" y="1064"/>
                  <a:pt x="57" y="1048"/>
                  <a:pt x="48" y="1032"/>
                </a:cubicBezTo>
                <a:cubicBezTo>
                  <a:pt x="41" y="1015"/>
                  <a:pt x="34" y="998"/>
                  <a:pt x="27" y="980"/>
                </a:cubicBezTo>
                <a:cubicBezTo>
                  <a:pt x="22" y="961"/>
                  <a:pt x="16" y="942"/>
                  <a:pt x="12" y="923"/>
                </a:cubicBezTo>
                <a:cubicBezTo>
                  <a:pt x="8" y="902"/>
                  <a:pt x="5" y="882"/>
                  <a:pt x="3" y="860"/>
                </a:cubicBezTo>
                <a:cubicBezTo>
                  <a:pt x="1" y="839"/>
                  <a:pt x="0" y="816"/>
                  <a:pt x="0" y="793"/>
                </a:cubicBezTo>
                <a:lnTo>
                  <a:pt x="0" y="0"/>
                </a:lnTo>
                <a:lnTo>
                  <a:pt x="312" y="0"/>
                </a:lnTo>
                <a:lnTo>
                  <a:pt x="312" y="775"/>
                </a:lnTo>
                <a:cubicBezTo>
                  <a:pt x="312" y="775"/>
                  <a:pt x="312" y="787"/>
                  <a:pt x="312" y="800"/>
                </a:cubicBezTo>
                <a:cubicBezTo>
                  <a:pt x="313" y="812"/>
                  <a:pt x="314" y="824"/>
                  <a:pt x="315" y="835"/>
                </a:cubicBezTo>
                <a:cubicBezTo>
                  <a:pt x="316" y="846"/>
                  <a:pt x="318" y="857"/>
                  <a:pt x="320" y="868"/>
                </a:cubicBezTo>
                <a:cubicBezTo>
                  <a:pt x="322" y="878"/>
                  <a:pt x="324" y="887"/>
                  <a:pt x="327" y="897"/>
                </a:cubicBezTo>
                <a:cubicBezTo>
                  <a:pt x="329" y="906"/>
                  <a:pt x="332" y="915"/>
                  <a:pt x="336" y="923"/>
                </a:cubicBezTo>
                <a:cubicBezTo>
                  <a:pt x="339" y="932"/>
                  <a:pt x="343" y="939"/>
                  <a:pt x="347" y="947"/>
                </a:cubicBezTo>
                <a:cubicBezTo>
                  <a:pt x="351" y="954"/>
                  <a:pt x="356" y="961"/>
                  <a:pt x="361" y="967"/>
                </a:cubicBezTo>
                <a:cubicBezTo>
                  <a:pt x="361" y="967"/>
                  <a:pt x="366" y="973"/>
                  <a:pt x="371" y="979"/>
                </a:cubicBezTo>
                <a:cubicBezTo>
                  <a:pt x="377" y="985"/>
                  <a:pt x="383" y="990"/>
                  <a:pt x="389" y="995"/>
                </a:cubicBezTo>
                <a:cubicBezTo>
                  <a:pt x="395" y="1000"/>
                  <a:pt x="402" y="1004"/>
                  <a:pt x="410" y="1008"/>
                </a:cubicBezTo>
                <a:cubicBezTo>
                  <a:pt x="417" y="1012"/>
                  <a:pt x="425" y="1015"/>
                  <a:pt x="433" y="1018"/>
                </a:cubicBezTo>
                <a:cubicBezTo>
                  <a:pt x="441" y="1021"/>
                  <a:pt x="450" y="1023"/>
                  <a:pt x="459" y="1025"/>
                </a:cubicBezTo>
                <a:cubicBezTo>
                  <a:pt x="468" y="1027"/>
                  <a:pt x="478" y="1028"/>
                  <a:pt x="488" y="1029"/>
                </a:cubicBezTo>
                <a:cubicBezTo>
                  <a:pt x="498" y="1030"/>
                  <a:pt x="509" y="1031"/>
                  <a:pt x="519" y="1031"/>
                </a:cubicBezTo>
                <a:cubicBezTo>
                  <a:pt x="519" y="1031"/>
                  <a:pt x="530" y="1031"/>
                  <a:pt x="540" y="1030"/>
                </a:cubicBezTo>
                <a:cubicBezTo>
                  <a:pt x="550" y="1029"/>
                  <a:pt x="560" y="1028"/>
                  <a:pt x="570" y="1027"/>
                </a:cubicBezTo>
                <a:cubicBezTo>
                  <a:pt x="579" y="1025"/>
                  <a:pt x="588" y="1023"/>
                  <a:pt x="596" y="1021"/>
                </a:cubicBezTo>
                <a:cubicBezTo>
                  <a:pt x="605" y="1018"/>
                  <a:pt x="613" y="1016"/>
                  <a:pt x="620" y="1012"/>
                </a:cubicBezTo>
                <a:cubicBezTo>
                  <a:pt x="628" y="1009"/>
                  <a:pt x="635" y="1005"/>
                  <a:pt x="642" y="1001"/>
                </a:cubicBezTo>
                <a:cubicBezTo>
                  <a:pt x="649" y="996"/>
                  <a:pt x="655" y="992"/>
                  <a:pt x="661" y="987"/>
                </a:cubicBezTo>
                <a:cubicBezTo>
                  <a:pt x="667" y="981"/>
                  <a:pt x="672" y="976"/>
                  <a:pt x="678" y="970"/>
                </a:cubicBezTo>
                <a:cubicBezTo>
                  <a:pt x="678" y="970"/>
                  <a:pt x="683" y="964"/>
                  <a:pt x="687" y="957"/>
                </a:cubicBezTo>
                <a:cubicBezTo>
                  <a:pt x="692" y="950"/>
                  <a:pt x="696" y="943"/>
                  <a:pt x="700" y="935"/>
                </a:cubicBezTo>
                <a:cubicBezTo>
                  <a:pt x="703" y="927"/>
                  <a:pt x="707" y="918"/>
                  <a:pt x="710" y="909"/>
                </a:cubicBezTo>
                <a:cubicBezTo>
                  <a:pt x="713" y="900"/>
                  <a:pt x="715" y="891"/>
                  <a:pt x="718" y="881"/>
                </a:cubicBezTo>
                <a:cubicBezTo>
                  <a:pt x="720" y="870"/>
                  <a:pt x="722" y="860"/>
                  <a:pt x="724" y="849"/>
                </a:cubicBezTo>
                <a:cubicBezTo>
                  <a:pt x="725" y="837"/>
                  <a:pt x="726" y="825"/>
                  <a:pt x="727" y="813"/>
                </a:cubicBezTo>
                <a:cubicBezTo>
                  <a:pt x="728" y="801"/>
                  <a:pt x="728" y="788"/>
                  <a:pt x="728" y="775"/>
                </a:cubicBezTo>
                <a:lnTo>
                  <a:pt x="728" y="0"/>
                </a:lnTo>
                <a:lnTo>
                  <a:pt x="1040" y="0"/>
                </a:lnTo>
                <a:lnTo>
                  <a:pt x="1040" y="792"/>
                </a:lnTo>
                <a:cubicBezTo>
                  <a:pt x="1040" y="792"/>
                  <a:pt x="1039" y="815"/>
                  <a:pt x="1038" y="837"/>
                </a:cubicBezTo>
                <a:cubicBezTo>
                  <a:pt x="1037" y="859"/>
                  <a:pt x="1035" y="880"/>
                  <a:pt x="1032" y="900"/>
                </a:cubicBezTo>
                <a:cubicBezTo>
                  <a:pt x="1028" y="920"/>
                  <a:pt x="1024" y="940"/>
                  <a:pt x="1019" y="959"/>
                </a:cubicBezTo>
                <a:cubicBezTo>
                  <a:pt x="1013" y="977"/>
                  <a:pt x="1007" y="995"/>
                  <a:pt x="1000" y="1012"/>
                </a:cubicBezTo>
                <a:cubicBezTo>
                  <a:pt x="993" y="1029"/>
                  <a:pt x="984" y="1045"/>
                  <a:pt x="976" y="1061"/>
                </a:cubicBezTo>
                <a:cubicBezTo>
                  <a:pt x="966" y="1076"/>
                  <a:pt x="956" y="1091"/>
                  <a:pt x="945" y="1105"/>
                </a:cubicBezTo>
                <a:cubicBezTo>
                  <a:pt x="934" y="1119"/>
                  <a:pt x="921" y="1132"/>
                  <a:pt x="909" y="1145"/>
                </a:cubicBezTo>
                <a:cubicBezTo>
                  <a:pt x="909" y="1145"/>
                  <a:pt x="895" y="1157"/>
                  <a:pt x="881" y="1168"/>
                </a:cubicBezTo>
                <a:cubicBezTo>
                  <a:pt x="866" y="1179"/>
                  <a:pt x="851" y="1189"/>
                  <a:pt x="835" y="1198"/>
                </a:cubicBezTo>
                <a:cubicBezTo>
                  <a:pt x="818" y="1207"/>
                  <a:pt x="801" y="1216"/>
                  <a:pt x="783" y="1223"/>
                </a:cubicBezTo>
                <a:cubicBezTo>
                  <a:pt x="765" y="1230"/>
                  <a:pt x="746" y="1237"/>
                  <a:pt x="726" y="1243"/>
                </a:cubicBezTo>
                <a:cubicBezTo>
                  <a:pt x="705" y="1248"/>
                  <a:pt x="684" y="1252"/>
                  <a:pt x="663" y="1256"/>
                </a:cubicBezTo>
                <a:cubicBezTo>
                  <a:pt x="640" y="1260"/>
                  <a:pt x="618" y="1263"/>
                  <a:pt x="594" y="1265"/>
                </a:cubicBezTo>
                <a:cubicBezTo>
                  <a:pt x="570" y="1266"/>
                  <a:pt x="545" y="1267"/>
                  <a:pt x="519" y="1268"/>
                </a:cubicBez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pic>
        <xdr:nvPicPr>
          <xdr:cNvPr id="1028" name="imagerId15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2680" y="2340"/>
            <a:ext cx="3940" cy="3520"/>
          </a:xfrm>
          <a:prstGeom prst="rect">
            <a:avLst/>
          </a:prstGeom>
          <a:noFill/>
        </xdr:spPr>
      </xdr:pic>
    </xdr:grp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H29"/>
  <sheetViews>
    <sheetView topLeftCell="A7" zoomScale="80" zoomScaleNormal="80" workbookViewId="0">
      <selection activeCell="C63" sqref="C63"/>
    </sheetView>
  </sheetViews>
  <sheetFormatPr baseColWidth="10" defaultColWidth="11.42578125" defaultRowHeight="12.75"/>
  <cols>
    <col min="1" max="1" width="11.140625" customWidth="1"/>
    <col min="2" max="2" width="13.5703125" style="22" customWidth="1"/>
    <col min="3" max="3" width="44.42578125" customWidth="1"/>
    <col min="4" max="4" width="15.28515625" bestFit="1" customWidth="1"/>
    <col min="5" max="5" width="10.85546875" bestFit="1" customWidth="1"/>
    <col min="6" max="6" width="10.5703125" bestFit="1" customWidth="1"/>
    <col min="7" max="7" width="16.28515625" bestFit="1" customWidth="1"/>
    <col min="8" max="8" width="17.140625" customWidth="1"/>
  </cols>
  <sheetData>
    <row r="1" spans="1:8" ht="15">
      <c r="A1" s="23" t="s">
        <v>10</v>
      </c>
      <c r="B1" s="24" t="s">
        <v>11</v>
      </c>
      <c r="C1" s="23" t="s">
        <v>12</v>
      </c>
      <c r="D1" s="23" t="s">
        <v>13</v>
      </c>
      <c r="E1" s="23" t="s">
        <v>14</v>
      </c>
      <c r="F1" s="23" t="s">
        <v>15</v>
      </c>
      <c r="G1" s="23" t="s">
        <v>16</v>
      </c>
      <c r="H1" s="23" t="s">
        <v>20</v>
      </c>
    </row>
    <row r="2" spans="1:8" ht="13.5">
      <c r="A2" s="34" t="s">
        <v>22</v>
      </c>
      <c r="B2" s="32">
        <v>43838</v>
      </c>
      <c r="C2" s="31" t="s">
        <v>21</v>
      </c>
      <c r="D2" s="30"/>
      <c r="E2" s="30">
        <f>+D2*13%</f>
        <v>0</v>
      </c>
      <c r="F2" s="30">
        <f>+(D2+E2)*5%</f>
        <v>0</v>
      </c>
      <c r="G2" s="30">
        <v>1</v>
      </c>
      <c r="H2" s="30">
        <f>+D2+E2+0.5</f>
        <v>0.5</v>
      </c>
    </row>
    <row r="3" spans="1:8" ht="13.5">
      <c r="A3" s="34" t="s">
        <v>23</v>
      </c>
      <c r="B3" s="32">
        <v>43847</v>
      </c>
      <c r="C3" s="31" t="s">
        <v>24</v>
      </c>
      <c r="D3" s="30"/>
      <c r="E3" s="30"/>
      <c r="F3" s="30"/>
      <c r="G3" s="30"/>
      <c r="H3" s="30"/>
    </row>
    <row r="4" spans="1:8" ht="13.5">
      <c r="A4" s="34" t="s">
        <v>25</v>
      </c>
      <c r="B4" s="32">
        <v>43853</v>
      </c>
      <c r="C4" s="31" t="s">
        <v>26</v>
      </c>
      <c r="D4" s="30"/>
      <c r="E4" s="30"/>
      <c r="F4" s="30"/>
      <c r="G4" s="30"/>
      <c r="H4" s="30"/>
    </row>
    <row r="5" spans="1:8" ht="13.5">
      <c r="A5" s="34" t="s">
        <v>27</v>
      </c>
      <c r="B5" s="32">
        <v>43859</v>
      </c>
      <c r="C5" s="31" t="s">
        <v>28</v>
      </c>
      <c r="D5" s="30"/>
      <c r="E5" s="30"/>
      <c r="F5" s="30"/>
      <c r="G5" s="30"/>
      <c r="H5" s="30"/>
    </row>
    <row r="6" spans="1:8" ht="13.5" hidden="1">
      <c r="A6" s="34" t="s">
        <v>29</v>
      </c>
      <c r="B6" s="32">
        <v>30</v>
      </c>
      <c r="C6" s="31"/>
      <c r="D6" s="30"/>
      <c r="E6" s="30"/>
      <c r="F6" s="30"/>
      <c r="G6" s="30"/>
      <c r="H6" s="30"/>
    </row>
    <row r="7" spans="1:8" ht="13.5">
      <c r="A7" s="34" t="s">
        <v>29</v>
      </c>
      <c r="B7" s="32">
        <v>43860</v>
      </c>
      <c r="C7" s="31" t="s">
        <v>47</v>
      </c>
      <c r="D7" s="30"/>
      <c r="E7" s="30"/>
      <c r="F7" s="30"/>
      <c r="G7" s="30"/>
      <c r="H7" s="30"/>
    </row>
    <row r="8" spans="1:8" ht="13.5">
      <c r="A8" s="34" t="s">
        <v>30</v>
      </c>
      <c r="B8" s="32">
        <v>43871</v>
      </c>
      <c r="C8" s="31" t="s">
        <v>47</v>
      </c>
      <c r="D8" s="30"/>
      <c r="E8" s="30"/>
      <c r="F8" s="30"/>
      <c r="G8" s="30"/>
      <c r="H8" s="30"/>
    </row>
    <row r="9" spans="1:8" ht="13.5" hidden="1">
      <c r="A9" s="34" t="s">
        <v>31</v>
      </c>
      <c r="B9" s="32">
        <v>10</v>
      </c>
      <c r="C9" s="31"/>
      <c r="D9" s="30"/>
      <c r="E9" s="30"/>
      <c r="F9" s="30"/>
      <c r="G9" s="30"/>
      <c r="H9" s="30"/>
    </row>
    <row r="10" spans="1:8" ht="13.5">
      <c r="A10" s="34" t="s">
        <v>32</v>
      </c>
      <c r="B10" s="32">
        <v>43872</v>
      </c>
      <c r="C10" s="31" t="s">
        <v>48</v>
      </c>
      <c r="D10" s="30"/>
      <c r="E10" s="30"/>
      <c r="F10" s="30"/>
      <c r="G10" s="30"/>
      <c r="H10" s="30"/>
    </row>
    <row r="11" spans="1:8" ht="13.5">
      <c r="A11" s="34" t="s">
        <v>33</v>
      </c>
      <c r="B11" s="32">
        <v>43872</v>
      </c>
      <c r="C11" s="31" t="s">
        <v>49</v>
      </c>
      <c r="D11" s="30"/>
      <c r="E11" s="30"/>
      <c r="F11" s="30"/>
      <c r="G11" s="30"/>
      <c r="H11" s="30"/>
    </row>
    <row r="12" spans="1:8" ht="13.5">
      <c r="A12" s="34" t="s">
        <v>34</v>
      </c>
      <c r="B12" s="32">
        <v>43875</v>
      </c>
      <c r="C12" s="31" t="s">
        <v>50</v>
      </c>
      <c r="D12" s="30"/>
      <c r="E12" s="30"/>
      <c r="F12" s="30"/>
      <c r="G12" s="30"/>
      <c r="H12" s="30"/>
    </row>
    <row r="13" spans="1:8" ht="13.5">
      <c r="A13" s="34" t="s">
        <v>35</v>
      </c>
      <c r="B13" s="32">
        <v>43875</v>
      </c>
      <c r="C13" s="31" t="s">
        <v>51</v>
      </c>
      <c r="D13" s="30"/>
      <c r="E13" s="30"/>
      <c r="F13" s="30"/>
      <c r="G13" s="25"/>
      <c r="H13" s="30"/>
    </row>
    <row r="14" spans="1:8" ht="13.5">
      <c r="A14" s="34" t="s">
        <v>36</v>
      </c>
      <c r="B14" s="32">
        <v>43879</v>
      </c>
      <c r="C14" s="31" t="s">
        <v>52</v>
      </c>
      <c r="D14" s="30"/>
      <c r="E14" s="30"/>
      <c r="F14" s="30"/>
      <c r="G14" s="25"/>
      <c r="H14" s="30"/>
    </row>
    <row r="15" spans="1:8" ht="13.5">
      <c r="A15" s="34" t="s">
        <v>37</v>
      </c>
      <c r="B15" s="32"/>
      <c r="C15" s="31"/>
      <c r="D15" s="30"/>
      <c r="E15" s="30"/>
      <c r="F15" s="30"/>
      <c r="G15" s="25"/>
      <c r="H15" s="30"/>
    </row>
    <row r="16" spans="1:8" ht="13.5">
      <c r="A16" s="34" t="s">
        <v>38</v>
      </c>
      <c r="B16" s="32"/>
      <c r="C16" s="31"/>
      <c r="D16" s="30"/>
      <c r="E16" s="30"/>
      <c r="F16" s="30"/>
      <c r="G16" s="25"/>
      <c r="H16" s="30"/>
    </row>
    <row r="17" spans="1:8" ht="13.5">
      <c r="A17" s="34" t="s">
        <v>39</v>
      </c>
      <c r="B17" s="32"/>
      <c r="C17" s="31"/>
      <c r="D17" s="30"/>
      <c r="E17" s="30"/>
      <c r="F17" s="30"/>
      <c r="G17" s="25"/>
      <c r="H17" s="30"/>
    </row>
    <row r="18" spans="1:8" ht="13.5">
      <c r="A18" s="34" t="s">
        <v>40</v>
      </c>
      <c r="B18" s="32"/>
      <c r="C18" s="31"/>
      <c r="D18" s="30"/>
      <c r="E18" s="30"/>
      <c r="F18" s="30"/>
      <c r="G18" s="25"/>
      <c r="H18" s="30"/>
    </row>
    <row r="19" spans="1:8" ht="13.5">
      <c r="A19" s="34" t="s">
        <v>41</v>
      </c>
      <c r="B19" s="32"/>
      <c r="C19" s="31"/>
      <c r="D19" s="30"/>
      <c r="E19" s="30"/>
      <c r="F19" s="30"/>
      <c r="G19" s="25"/>
      <c r="H19" s="30"/>
    </row>
    <row r="20" spans="1:8" ht="13.5">
      <c r="A20" s="34" t="s">
        <v>42</v>
      </c>
      <c r="B20" s="32"/>
      <c r="C20" s="31"/>
      <c r="D20" s="30"/>
      <c r="E20" s="30"/>
      <c r="F20" s="30"/>
      <c r="G20" s="25"/>
      <c r="H20" s="30"/>
    </row>
    <row r="21" spans="1:8" ht="13.5">
      <c r="A21" s="34" t="s">
        <v>43</v>
      </c>
      <c r="B21" s="32"/>
      <c r="C21" s="31"/>
      <c r="D21" s="30"/>
      <c r="E21" s="30"/>
      <c r="F21" s="30"/>
      <c r="G21" s="25"/>
      <c r="H21" s="30"/>
    </row>
    <row r="22" spans="1:8" ht="13.5">
      <c r="A22" s="34" t="s">
        <v>44</v>
      </c>
      <c r="B22" s="32"/>
      <c r="C22" s="31"/>
      <c r="D22" s="30"/>
      <c r="E22" s="30"/>
      <c r="F22" s="30"/>
      <c r="G22" s="30"/>
      <c r="H22" s="30"/>
    </row>
    <row r="23" spans="1:8" ht="13.5">
      <c r="A23" s="34" t="s">
        <v>45</v>
      </c>
      <c r="B23" s="32"/>
      <c r="C23" s="31"/>
      <c r="D23" s="30"/>
      <c r="E23" s="30"/>
      <c r="F23" s="30"/>
      <c r="G23" s="30"/>
      <c r="H23" s="30"/>
    </row>
    <row r="24" spans="1:8" ht="13.5">
      <c r="A24" s="34" t="s">
        <v>46</v>
      </c>
      <c r="B24" s="32"/>
      <c r="C24" s="31"/>
      <c r="D24" s="30"/>
      <c r="E24" s="30"/>
      <c r="F24" s="30"/>
      <c r="G24" s="25"/>
      <c r="H24" s="30"/>
    </row>
    <row r="25" spans="1:8" ht="15">
      <c r="A25" s="26"/>
      <c r="B25" s="26"/>
      <c r="C25" s="26"/>
      <c r="D25" s="27">
        <f>SUM(D2:D24)</f>
        <v>0</v>
      </c>
      <c r="E25" s="27">
        <f>SUM(E2:E24)</f>
        <v>0</v>
      </c>
      <c r="F25" s="27">
        <f>SUM(F2:F24)</f>
        <v>0</v>
      </c>
      <c r="G25" s="27">
        <f>SUM(G2:G24)</f>
        <v>1</v>
      </c>
      <c r="H25" s="27"/>
    </row>
    <row r="26" spans="1:8">
      <c r="D26" s="18"/>
    </row>
    <row r="27" spans="1:8" ht="15">
      <c r="A27" s="26"/>
      <c r="B27" s="26"/>
      <c r="C27" s="26" t="s">
        <v>17</v>
      </c>
      <c r="D27" s="27"/>
      <c r="E27" s="27"/>
      <c r="F27" s="29" t="e">
        <f>(E27)/D25</f>
        <v>#DIV/0!</v>
      </c>
      <c r="G27" s="27"/>
      <c r="H27" s="27"/>
    </row>
    <row r="29" spans="1:8" ht="15">
      <c r="A29" s="26"/>
      <c r="B29" s="26"/>
      <c r="C29" s="26" t="s">
        <v>18</v>
      </c>
      <c r="D29" s="27">
        <f>150+90+75</f>
        <v>315</v>
      </c>
      <c r="E29" s="27"/>
      <c r="F29" s="27"/>
      <c r="G29" s="28"/>
      <c r="H29" s="28"/>
    </row>
  </sheetData>
  <autoFilter ref="A1:H27">
    <filterColumn colId="1">
      <filters blank="1">
        <dateGroupItem year="2020" dateTimeGrouping="year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3:I54"/>
  <sheetViews>
    <sheetView showGridLines="0" tabSelected="1" workbookViewId="0">
      <selection activeCell="F40" sqref="F40"/>
    </sheetView>
  </sheetViews>
  <sheetFormatPr baseColWidth="10" defaultColWidth="9.140625" defaultRowHeight="12.75"/>
  <cols>
    <col min="1" max="1" width="11.140625" customWidth="1"/>
    <col min="2" max="2" width="22" customWidth="1"/>
    <col min="3" max="3" width="26.5703125" customWidth="1"/>
    <col min="4" max="4" width="11.28515625" customWidth="1"/>
    <col min="5" max="5" width="23.5703125" customWidth="1"/>
    <col min="6" max="6" width="26.140625" customWidth="1"/>
    <col min="7" max="7" width="20" customWidth="1"/>
  </cols>
  <sheetData>
    <row r="3" spans="1:6">
      <c r="A3" s="35"/>
      <c r="B3" s="35"/>
    </row>
    <row r="4" spans="1:6">
      <c r="A4" s="35"/>
      <c r="B4" s="35"/>
    </row>
    <row r="5" spans="1:6">
      <c r="A5" s="35"/>
      <c r="B5" s="35"/>
      <c r="C5" s="52"/>
      <c r="D5" s="52"/>
      <c r="E5" s="52"/>
    </row>
    <row r="6" spans="1:6" ht="7.5" customHeight="1">
      <c r="A6" s="35"/>
      <c r="B6" s="35"/>
      <c r="C6" s="52"/>
      <c r="D6" s="52"/>
      <c r="E6" s="52"/>
    </row>
    <row r="7" spans="1:6">
      <c r="A7" s="35"/>
      <c r="B7" s="35"/>
      <c r="C7" s="52"/>
      <c r="D7" s="52"/>
      <c r="E7" s="52"/>
    </row>
    <row r="8" spans="1:6" s="1" customFormat="1" ht="57.75" customHeight="1">
      <c r="A8" s="59" t="s">
        <v>64</v>
      </c>
      <c r="B8" s="59"/>
      <c r="C8" s="59"/>
      <c r="D8" s="59"/>
      <c r="E8" s="59"/>
      <c r="F8" s="59"/>
    </row>
    <row r="9" spans="1:6" ht="24.75" customHeight="1">
      <c r="B9" s="2"/>
      <c r="C9" s="2"/>
      <c r="D9" s="2"/>
      <c r="E9" s="19" t="s">
        <v>9</v>
      </c>
      <c r="F9" s="9">
        <v>45146</v>
      </c>
    </row>
    <row r="10" spans="1:6" ht="15.75">
      <c r="B10" s="3"/>
      <c r="E10" s="20"/>
      <c r="F10" s="10"/>
    </row>
    <row r="11" spans="1:6" ht="16.5" customHeight="1">
      <c r="B11" s="3"/>
      <c r="E11" s="33" t="s">
        <v>8</v>
      </c>
      <c r="F11" s="51" t="s">
        <v>60</v>
      </c>
    </row>
    <row r="12" spans="1:6" ht="9.75" customHeight="1">
      <c r="B12" s="3"/>
      <c r="E12" s="19"/>
      <c r="F12" s="12"/>
    </row>
    <row r="13" spans="1:6" ht="31.5">
      <c r="B13" s="3"/>
      <c r="E13" s="33" t="s">
        <v>7</v>
      </c>
      <c r="F13" s="17" t="s">
        <v>61</v>
      </c>
    </row>
    <row r="14" spans="1:6" ht="6.75" customHeight="1">
      <c r="B14" s="3"/>
      <c r="E14" s="21"/>
      <c r="F14" s="17"/>
    </row>
    <row r="15" spans="1:6" ht="15.75">
      <c r="B15" s="3"/>
      <c r="E15" s="19" t="s">
        <v>6</v>
      </c>
      <c r="F15" s="10" t="s">
        <v>59</v>
      </c>
    </row>
    <row r="16" spans="1:6">
      <c r="E16" s="5"/>
      <c r="F16" s="4"/>
    </row>
    <row r="17" spans="2:8" ht="15.75">
      <c r="C17" s="5"/>
      <c r="D17" s="5"/>
      <c r="E17" s="19" t="s">
        <v>56</v>
      </c>
      <c r="F17" s="4"/>
    </row>
    <row r="18" spans="2:8" ht="12.75" customHeight="1">
      <c r="B18" s="5"/>
      <c r="C18" s="5"/>
      <c r="D18" s="5"/>
      <c r="E18" s="19"/>
      <c r="F18" s="5"/>
    </row>
    <row r="19" spans="2:8" s="1" customFormat="1" ht="20.100000000000001" customHeight="1">
      <c r="B19" s="60" t="s">
        <v>0</v>
      </c>
      <c r="C19" s="61"/>
      <c r="D19" s="38" t="s">
        <v>55</v>
      </c>
      <c r="E19" s="40" t="s">
        <v>53</v>
      </c>
      <c r="F19" s="43" t="s">
        <v>54</v>
      </c>
    </row>
    <row r="20" spans="2:8" s="1" customFormat="1" ht="24" customHeight="1">
      <c r="B20" s="57" t="s">
        <v>62</v>
      </c>
      <c r="C20" s="58"/>
      <c r="D20" s="36"/>
      <c r="E20" s="41"/>
      <c r="F20" s="44"/>
    </row>
    <row r="21" spans="2:8" s="1" customFormat="1" ht="21.75" customHeight="1">
      <c r="B21" s="57"/>
      <c r="C21" s="58"/>
      <c r="D21" s="36"/>
      <c r="E21" s="41"/>
      <c r="F21" s="44"/>
    </row>
    <row r="22" spans="2:8" s="1" customFormat="1" ht="18.75" customHeight="1">
      <c r="B22" s="57" t="s">
        <v>63</v>
      </c>
      <c r="C22" s="58"/>
      <c r="D22" s="36">
        <v>4</v>
      </c>
      <c r="E22" s="41" t="s">
        <v>65</v>
      </c>
      <c r="F22" s="44">
        <f>SUM(D22*E22)</f>
        <v>480</v>
      </c>
    </row>
    <row r="23" spans="2:8" s="1" customFormat="1" ht="20.100000000000001" customHeight="1">
      <c r="B23" s="57"/>
      <c r="C23" s="58"/>
      <c r="D23" s="36"/>
      <c r="E23" s="41"/>
      <c r="F23" s="44"/>
      <c r="H23" s="8"/>
    </row>
    <row r="24" spans="2:8" s="1" customFormat="1" ht="20.100000000000001" customHeight="1">
      <c r="B24" s="53"/>
      <c r="C24" s="54"/>
      <c r="D24" s="36"/>
      <c r="E24" s="41"/>
      <c r="F24" s="44"/>
    </row>
    <row r="25" spans="2:8" s="1" customFormat="1" ht="20.100000000000001" customHeight="1">
      <c r="B25" s="53"/>
      <c r="C25" s="54"/>
      <c r="D25" s="36"/>
      <c r="E25" s="41"/>
      <c r="F25" s="44"/>
    </row>
    <row r="26" spans="2:8" s="1" customFormat="1" ht="20.100000000000001" customHeight="1">
      <c r="B26" s="53"/>
      <c r="C26" s="54"/>
      <c r="D26" s="36"/>
      <c r="E26" s="41"/>
      <c r="F26" s="44"/>
    </row>
    <row r="27" spans="2:8" s="1" customFormat="1" ht="20.100000000000001" customHeight="1">
      <c r="B27" s="53"/>
      <c r="C27" s="54"/>
      <c r="D27" s="36"/>
      <c r="E27" s="41"/>
      <c r="F27" s="44"/>
    </row>
    <row r="28" spans="2:8" s="1" customFormat="1" ht="20.100000000000001" customHeight="1">
      <c r="B28" s="53"/>
      <c r="C28" s="54"/>
      <c r="D28" s="36"/>
      <c r="E28" s="41"/>
      <c r="F28" s="44"/>
    </row>
    <row r="29" spans="2:8" s="1" customFormat="1" ht="20.100000000000001" customHeight="1">
      <c r="B29" s="53"/>
      <c r="C29" s="54"/>
      <c r="D29" s="36"/>
      <c r="E29" s="41"/>
      <c r="F29" s="44"/>
    </row>
    <row r="30" spans="2:8" s="1" customFormat="1" ht="20.100000000000001" customHeight="1">
      <c r="B30" s="55"/>
      <c r="C30" s="56"/>
      <c r="D30" s="39"/>
      <c r="E30" s="42"/>
      <c r="F30" s="45"/>
    </row>
    <row r="31" spans="2:8" s="1" customFormat="1" ht="20.100000000000001" customHeight="1">
      <c r="B31" s="7"/>
      <c r="C31" s="6"/>
      <c r="D31" s="6"/>
      <c r="E31" s="15" t="s">
        <v>5</v>
      </c>
      <c r="F31" s="46">
        <f>SUM(F20:F30)</f>
        <v>480</v>
      </c>
    </row>
    <row r="32" spans="2:8" s="1" customFormat="1" ht="20.100000000000001" customHeight="1">
      <c r="B32" s="7"/>
      <c r="C32" s="6"/>
      <c r="D32" s="6"/>
      <c r="E32" s="15" t="s">
        <v>1</v>
      </c>
      <c r="F32" s="47">
        <v>0.19</v>
      </c>
    </row>
    <row r="33" spans="1:9" s="1" customFormat="1" ht="20.100000000000001" customHeight="1">
      <c r="B33" s="7"/>
      <c r="C33" s="6"/>
      <c r="D33" s="6"/>
      <c r="E33" s="15" t="s">
        <v>2</v>
      </c>
      <c r="F33" s="46">
        <f>+F31*F32</f>
        <v>91.2</v>
      </c>
    </row>
    <row r="34" spans="1:9" s="1" customFormat="1" ht="20.100000000000001" customHeight="1">
      <c r="B34" s="7"/>
      <c r="C34" s="6"/>
      <c r="D34" s="6"/>
      <c r="E34" s="15" t="s">
        <v>3</v>
      </c>
      <c r="F34" s="48">
        <f>+F33+F31</f>
        <v>571.20000000000005</v>
      </c>
    </row>
    <row r="35" spans="1:9" s="1" customFormat="1" ht="20.100000000000001" customHeight="1">
      <c r="B35" s="6"/>
      <c r="C35" s="6"/>
      <c r="D35" s="6"/>
      <c r="E35" s="15" t="s">
        <v>4</v>
      </c>
      <c r="F35" s="44">
        <v>1</v>
      </c>
    </row>
    <row r="36" spans="1:9" s="1" customFormat="1" ht="20.100000000000001" customHeight="1">
      <c r="B36"/>
      <c r="C36"/>
      <c r="D36"/>
      <c r="E36" s="15" t="s">
        <v>19</v>
      </c>
      <c r="F36" s="49">
        <f>F34+F35</f>
        <v>572.20000000000005</v>
      </c>
    </row>
    <row r="37" spans="1:9" s="1" customFormat="1" ht="20.100000000000001" customHeight="1">
      <c r="B37"/>
      <c r="C37"/>
      <c r="D37"/>
      <c r="E37" s="15"/>
      <c r="F37" s="15"/>
    </row>
    <row r="38" spans="1:9" s="1" customFormat="1" ht="32.25" customHeight="1">
      <c r="A38" s="16" t="s">
        <v>66</v>
      </c>
      <c r="B38" s="11"/>
      <c r="C38" s="11"/>
      <c r="D38" s="11"/>
      <c r="E38" s="37"/>
      <c r="F38" s="37"/>
    </row>
    <row r="44" spans="1:9">
      <c r="I44" s="18"/>
    </row>
    <row r="51" spans="2:6" ht="21" customHeight="1">
      <c r="B51" s="50" t="s">
        <v>57</v>
      </c>
      <c r="E51" s="14"/>
      <c r="F51" s="13"/>
    </row>
    <row r="52" spans="2:6" ht="21" customHeight="1">
      <c r="B52" s="50" t="s">
        <v>58</v>
      </c>
      <c r="E52" s="14"/>
      <c r="F52" s="13"/>
    </row>
    <row r="53" spans="2:6" ht="21" customHeight="1">
      <c r="E53" s="14"/>
      <c r="F53" s="13"/>
    </row>
    <row r="54" spans="2:6" ht="21" customHeight="1">
      <c r="E54" s="14"/>
      <c r="F54" s="13"/>
    </row>
  </sheetData>
  <mergeCells count="14">
    <mergeCell ref="C5:E7"/>
    <mergeCell ref="B29:C29"/>
    <mergeCell ref="B30:C30"/>
    <mergeCell ref="B23:C23"/>
    <mergeCell ref="B24:C24"/>
    <mergeCell ref="B25:C25"/>
    <mergeCell ref="B26:C26"/>
    <mergeCell ref="B27:C27"/>
    <mergeCell ref="B28:C28"/>
    <mergeCell ref="B22:C22"/>
    <mergeCell ref="A8:F8"/>
    <mergeCell ref="B19:C19"/>
    <mergeCell ref="B20:C20"/>
    <mergeCell ref="B21:C21"/>
  </mergeCells>
  <printOptions horizontalCentered="1"/>
  <pageMargins left="0.51181102362204722" right="0.51181102362204722" top="0.51181102362204722" bottom="0.51181102362204722" header="0.51181102362204722" footer="0.51181102362204722"/>
  <pageSetup paperSize="9" scale="6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recap</vt:lpstr>
      <vt:lpstr>fac 13</vt:lpstr>
      <vt:lpstr>Feuil1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Boulbeba</dc:creator>
  <cp:lastModifiedBy>Mokhtar</cp:lastModifiedBy>
  <cp:lastPrinted>2023-08-08T13:51:30Z</cp:lastPrinted>
  <dcterms:created xsi:type="dcterms:W3CDTF">2000-07-27T22:20:36Z</dcterms:created>
  <dcterms:modified xsi:type="dcterms:W3CDTF">2023-08-08T13:51:33Z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TC010184691036</vt:lpwstr>
  </property>
  <property fmtid="{D5CDD505-2E9C-101B-9397-08002B2CF9AE}" pid="3" name="FileName">
    <vt:lpwstr/>
  </property>
</Properties>
</file>