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5" i="11" l="1"/>
  <c r="G25" i="32" l="1"/>
  <c r="D29" i="32"/>
  <c r="F31" i="11" l="1"/>
  <c r="E2" i="32"/>
  <c r="H2" i="32" s="1"/>
  <c r="F37" i="11" l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<sst xmlns="http://schemas.openxmlformats.org/spreadsheetml/2006/main" count="77" uniqueCount="75">
  <si>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</si>
  <si>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</si>
  <si>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</si>
  <si>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</si>
  <si>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</si>
  <si>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</si>
  <si>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</si>
  <si>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</si>
  <si>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</si>
  <si>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</si>
  <si>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</si>
  <si>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</si>
  <si>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</si>
  <si>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</si>
  <si>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</si>
  <si>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</si>
  <si>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</si>
  <si>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</si>
  <si>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</si>
  <si>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</si>
  <si>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</si>
  <si>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</si>
  <si>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</si>
  <si>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</si>
  <si>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</si>
  <si>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</si>
  <si>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</si>
  <si>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</si>
  <si>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</si>
  <si>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</si>
  <si>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</si>
  <si>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</si>
  <si>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</si>
  <si>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</si>
  <si>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</si>
  <si>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</si>
  <si>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</si>
  <si>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</si>
  <si>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</si>
  <si>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</si>
  <si>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</si>
  <si>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</si>
  <si>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</si>
  <si>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</si>
  <si>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</si>
  <si>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</si>
  <si>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</si>
  <si>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</si>
  <si>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</si>
  <si>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</si>
  <si>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</si>
  <si>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</si>
  <si>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</si>
  <si>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</si>
  <si>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</si>
  <si>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</si>
  <si>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</si>
  <si>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</si>
  <si>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</si>
  <si>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Détection incendie</t>
  </si>
  <si>
    <t>RIA</t>
  </si>
  <si>
    <t>Electrique</t>
  </si>
  <si>
    <t>400,000</t>
  </si>
  <si>
    <t>FACTURE 74/2023</t>
  </si>
  <si>
    <t>STE TUNITEK</t>
  </si>
  <si>
    <t>Z,I EL AGBA</t>
  </si>
  <si>
    <t>700,000</t>
  </si>
  <si>
    <t>500,000</t>
  </si>
  <si>
    <t>800,000</t>
  </si>
  <si>
    <t>Réservoir air comprimé</t>
  </si>
  <si>
    <t>Gaz</t>
  </si>
  <si>
    <t>Contrôle technique des installations :</t>
  </si>
  <si>
    <t>600,000</t>
  </si>
  <si>
    <t>REMISE</t>
  </si>
  <si>
    <t xml:space="preserve">                          Arrêtée la présente facture à la somme de : DEUX MILLES HUITS CENTS UN DINARS ET 000 MILLIMES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</si>
</sst>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4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sz val="9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/>
    <xf numFmtId="0" fontId="7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7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9" fillId="0" borderId="3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9" fillId="0" borderId="12" xfId="0" applyNumberFormat="1" applyFont="1" applyFill="1" applyBorder="1" applyAlignment="1">
      <alignment horizontal="center" vertical="center"/>
    </xf>
    <xf numFmtId="49" fontId="9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9" fillId="0" borderId="15" xfId="0" applyNumberFormat="1" applyFont="1" applyFill="1" applyBorder="1" applyAlignment="1">
      <alignment horizontal="right" vertical="center"/>
    </xf>
    <xf numFmtId="166" fontId="9" fillId="0" borderId="16" xfId="0" applyNumberFormat="1" applyFont="1" applyFill="1" applyBorder="1" applyAlignment="1">
      <alignment horizontal="right" vertical="center"/>
    </xf>
    <xf numFmtId="166" fontId="9" fillId="2" borderId="15" xfId="0" applyNumberFormat="1" applyFont="1" applyFill="1" applyBorder="1" applyAlignment="1">
      <alignment horizontal="right" vertical="center"/>
    </xf>
    <xf numFmtId="9" fontId="9" fillId="0" borderId="15" xfId="0" applyNumberFormat="1" applyFont="1" applyBorder="1" applyAlignment="1">
      <alignment horizontal="right" vertical="center"/>
    </xf>
    <xf numFmtId="166" fontId="9" fillId="0" borderId="15" xfId="0" applyNumberFormat="1" applyFont="1" applyBorder="1" applyAlignment="1">
      <alignment horizontal="right" vertical="center"/>
    </xf>
    <xf numFmtId="166" fontId="9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4" fillId="0" borderId="6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41</xdr:row>
      <xdr:rowOff>123825</xdr:rowOff>
    </xdr:from>
    <xdr:to>
      <xdr:col>4</xdr:col>
      <xdr:colOff>504825</xdr:colOff>
      <xdr:row>49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49</xdr:row>
      <xdr:rowOff>152401</xdr:rowOff>
    </xdr:from>
    <xdr:to>
      <xdr:col>6</xdr:col>
      <xdr:colOff>1057275</xdr:colOff>
      <xdr:row>54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5"/>
  <sheetViews>
    <sheetView showGridLines="0" tabSelected="1" workbookViewId="0">
      <selection activeCell="G19" sqref="G19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1"/>
      <c r="D5" s="51"/>
      <c r="E5" s="51"/>
    </row>
    <row r="6" spans="1:6" ht="7.5" customHeight="1" x14ac:dyDescent="0.2">
      <c r="A6" s="35"/>
      <c r="B6" s="35"/>
      <c r="C6" s="51"/>
      <c r="D6" s="51"/>
      <c r="E6" s="51"/>
    </row>
    <row r="7" spans="1:6" x14ac:dyDescent="0.2">
      <c r="A7" s="35"/>
      <c r="B7" s="35"/>
      <c r="C7" s="51"/>
      <c r="D7" s="51"/>
      <c r="E7" s="51"/>
    </row>
    <row r="8" spans="1:6" s="1" customFormat="1" ht="57.75" customHeight="1" x14ac:dyDescent="0.2">
      <c r="A8" s="61" t="s">
        <v>63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45092</v>
      </c>
    </row>
    <row r="10" spans="1:6" ht="15.75" x14ac:dyDescent="0.25">
      <c r="B10" s="3"/>
      <c r="E10" s="20"/>
      <c r="F10" s="10"/>
    </row>
    <row r="11" spans="1:6" ht="34.5" customHeight="1" x14ac:dyDescent="0.2">
      <c r="B11" s="3"/>
      <c r="E11" s="33" t="s">
        <v>8</v>
      </c>
      <c r="F11" s="50" t="s">
        <v>64</v>
      </c>
    </row>
    <row r="12" spans="1:6" ht="9.75" customHeight="1" x14ac:dyDescent="0.25">
      <c r="B12" s="3"/>
      <c r="E12" s="19"/>
      <c r="F12" s="12"/>
    </row>
    <row r="13" spans="1:6" ht="15.75" x14ac:dyDescent="0.25">
      <c r="B13" s="3"/>
      <c r="E13" s="33" t="s">
        <v>7</v>
      </c>
      <c r="F13" s="17" t="s">
        <v>65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33" t="s">
        <v>6</v>
      </c>
      <c r="F15" s="17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7" t="s">
        <v>55</v>
      </c>
      <c r="E19" s="39" t="s">
        <v>53</v>
      </c>
      <c r="F19" s="42" t="s">
        <v>54</v>
      </c>
    </row>
    <row r="20" spans="2:8" s="1" customFormat="1" ht="24" customHeight="1" x14ac:dyDescent="0.2">
      <c r="B20" s="56" t="s">
        <v>71</v>
      </c>
      <c r="C20" s="57"/>
      <c r="D20" s="36"/>
      <c r="E20" s="40"/>
      <c r="F20" s="43"/>
    </row>
    <row r="21" spans="2:8" s="1" customFormat="1" ht="21.75" customHeight="1" x14ac:dyDescent="0.2">
      <c r="B21" s="56" t="s">
        <v>59</v>
      </c>
      <c r="C21" s="57"/>
      <c r="D21" s="36">
        <v>1</v>
      </c>
      <c r="E21" s="40" t="s">
        <v>66</v>
      </c>
      <c r="F21" s="43">
        <v>700</v>
      </c>
    </row>
    <row r="22" spans="2:8" s="1" customFormat="1" ht="30" customHeight="1" x14ac:dyDescent="0.2">
      <c r="B22" s="56" t="s">
        <v>60</v>
      </c>
      <c r="C22" s="57"/>
      <c r="D22" s="36">
        <v>1</v>
      </c>
      <c r="E22" s="40" t="s">
        <v>67</v>
      </c>
      <c r="F22" s="43">
        <v>500</v>
      </c>
    </row>
    <row r="23" spans="2:8" s="1" customFormat="1" ht="20.100000000000001" customHeight="1" x14ac:dyDescent="0.2">
      <c r="B23" s="56" t="s">
        <v>61</v>
      </c>
      <c r="C23" s="57"/>
      <c r="D23" s="36">
        <v>1</v>
      </c>
      <c r="E23" s="40" t="s">
        <v>68</v>
      </c>
      <c r="F23" s="43">
        <v>800</v>
      </c>
      <c r="H23" s="8"/>
    </row>
    <row r="24" spans="2:8" s="1" customFormat="1" ht="20.100000000000001" customHeight="1" x14ac:dyDescent="0.2">
      <c r="B24" s="58" t="s">
        <v>69</v>
      </c>
      <c r="C24" s="59"/>
      <c r="D24" s="36">
        <v>1</v>
      </c>
      <c r="E24" s="40" t="s">
        <v>62</v>
      </c>
      <c r="F24" s="43">
        <v>400</v>
      </c>
    </row>
    <row r="25" spans="2:8" s="1" customFormat="1" ht="20.100000000000001" customHeight="1" x14ac:dyDescent="0.2">
      <c r="B25" s="52" t="s">
        <v>70</v>
      </c>
      <c r="C25" s="53"/>
      <c r="D25" s="36">
        <v>1</v>
      </c>
      <c r="E25" s="40" t="s">
        <v>72</v>
      </c>
      <c r="F25" s="43">
        <v>600</v>
      </c>
    </row>
    <row r="26" spans="2:8" s="1" customFormat="1" ht="20.100000000000001" customHeight="1" x14ac:dyDescent="0.2">
      <c r="B26" s="60"/>
      <c r="C26" s="53"/>
      <c r="D26" s="36"/>
      <c r="E26" s="40"/>
      <c r="F26" s="43"/>
    </row>
    <row r="27" spans="2:8" s="1" customFormat="1" ht="20.100000000000001" customHeight="1" x14ac:dyDescent="0.2">
      <c r="B27" s="60"/>
      <c r="C27" s="53"/>
      <c r="D27" s="36"/>
      <c r="E27" s="40"/>
      <c r="F27" s="43"/>
    </row>
    <row r="28" spans="2:8" s="1" customFormat="1" ht="20.100000000000001" customHeight="1" x14ac:dyDescent="0.2">
      <c r="B28" s="60"/>
      <c r="C28" s="53"/>
      <c r="D28" s="36"/>
      <c r="E28" s="40"/>
      <c r="F28" s="43"/>
    </row>
    <row r="29" spans="2:8" s="1" customFormat="1" ht="20.100000000000001" customHeight="1" x14ac:dyDescent="0.2">
      <c r="B29" s="52"/>
      <c r="C29" s="53"/>
      <c r="D29" s="36"/>
      <c r="E29" s="40"/>
      <c r="F29" s="43"/>
    </row>
    <row r="30" spans="2:8" s="1" customFormat="1" ht="20.100000000000001" customHeight="1" x14ac:dyDescent="0.2">
      <c r="B30" s="54"/>
      <c r="C30" s="55"/>
      <c r="D30" s="38"/>
      <c r="E30" s="41"/>
      <c r="F30" s="44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5">
        <f>SUM(F20:F30)</f>
        <v>3000</v>
      </c>
    </row>
    <row r="32" spans="2:8" s="1" customFormat="1" ht="20.100000000000001" customHeight="1" x14ac:dyDescent="0.2">
      <c r="B32" s="7"/>
      <c r="C32" s="6"/>
      <c r="D32" s="6"/>
      <c r="E32" s="15" t="s">
        <v>73</v>
      </c>
      <c r="F32" s="45">
        <v>200</v>
      </c>
    </row>
    <row r="33" spans="1:9" s="1" customFormat="1" ht="20.100000000000001" customHeight="1" x14ac:dyDescent="0.2">
      <c r="B33" s="7"/>
      <c r="C33" s="6"/>
      <c r="D33" s="6"/>
      <c r="E33" s="15" t="s">
        <v>1</v>
      </c>
      <c r="F33" s="46">
        <v>0</v>
      </c>
    </row>
    <row r="34" spans="1:9" s="1" customFormat="1" ht="20.100000000000001" customHeight="1" x14ac:dyDescent="0.2">
      <c r="B34" s="7"/>
      <c r="C34" s="6"/>
      <c r="D34" s="6"/>
      <c r="E34" s="15" t="s">
        <v>2</v>
      </c>
      <c r="F34" s="45">
        <v>0</v>
      </c>
    </row>
    <row r="35" spans="1:9" s="1" customFormat="1" ht="20.100000000000001" customHeight="1" x14ac:dyDescent="0.2">
      <c r="B35" s="7"/>
      <c r="C35" s="6"/>
      <c r="D35" s="6"/>
      <c r="E35" s="15" t="s">
        <v>3</v>
      </c>
      <c r="F35" s="47">
        <f>+F31-F32+F34</f>
        <v>2800</v>
      </c>
    </row>
    <row r="36" spans="1:9" s="1" customFormat="1" ht="20.100000000000001" customHeight="1" x14ac:dyDescent="0.2">
      <c r="B36" s="6"/>
      <c r="C36" s="6"/>
      <c r="D36" s="6"/>
      <c r="E36" s="15" t="s">
        <v>4</v>
      </c>
      <c r="F36" s="43">
        <v>1</v>
      </c>
    </row>
    <row r="37" spans="1:9" s="1" customFormat="1" ht="20.100000000000001" customHeight="1" x14ac:dyDescent="0.2">
      <c r="B37"/>
      <c r="C37"/>
      <c r="D37"/>
      <c r="E37" s="15" t="s">
        <v>19</v>
      </c>
      <c r="F37" s="48">
        <f>F35+F36</f>
        <v>2801</v>
      </c>
    </row>
    <row r="38" spans="1:9" s="1" customFormat="1" ht="20.100000000000001" customHeight="1" x14ac:dyDescent="0.2">
      <c r="B38"/>
      <c r="C38"/>
      <c r="D38"/>
      <c r="E38" s="15"/>
      <c r="F38" s="15"/>
    </row>
    <row r="39" spans="1:9" s="1" customFormat="1" ht="32.25" customHeight="1" x14ac:dyDescent="0.2">
      <c r="A39" s="16" t="s">
        <v>74</v>
      </c>
      <c r="B39" s="11"/>
      <c r="C39" s="11"/>
      <c r="D39" s="11"/>
      <c r="E39" s="11"/>
      <c r="F39" s="11"/>
      <c r="G39" s="11"/>
      <c r="H39" s="11"/>
    </row>
    <row r="45" spans="1:9" x14ac:dyDescent="0.2">
      <c r="I45" s="18"/>
    </row>
    <row r="52" spans="2:6" ht="21" customHeight="1" x14ac:dyDescent="0.3">
      <c r="B52" s="49" t="s">
        <v>57</v>
      </c>
      <c r="E52" s="14"/>
      <c r="F52" s="13"/>
    </row>
    <row r="53" spans="2:6" ht="21" customHeight="1" x14ac:dyDescent="0.3">
      <c r="B53" s="49" t="s">
        <v>58</v>
      </c>
      <c r="E53" s="14"/>
      <c r="F53" s="13"/>
    </row>
    <row r="54" spans="2:6" ht="21" customHeight="1" x14ac:dyDescent="0.2">
      <c r="E54" s="14"/>
      <c r="F54" s="13"/>
    </row>
    <row r="55" spans="2:6" ht="21" customHeight="1" x14ac:dyDescent="0.2">
      <c r="E55" s="14"/>
      <c r="F55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2021-03-10T11:40:25Z</cp:lastPrinted>
  <dcterms:created xsi:type="dcterms:W3CDTF">2000-07-27T22:20:36Z</dcterms:created>
  <dcterms:modified xsi:type="dcterms:W3CDTF">2023-06-15T14:42:30Z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