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1" i="11" l="1"/>
  <c r="F22" i="1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<sst xmlns="http://schemas.openxmlformats.org/spreadsheetml/2006/main" count="71" uniqueCount="69">
  <si>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</si>
  <si>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</si>
  <si>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</si>
  <si>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</si>
  <si>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</si>
  <si>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</si>
  <si>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</si>
  <si>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</si>
  <si>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</si>
  <si>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</si>
  <si>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</si>
  <si>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</si>
  <si>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</si>
  <si>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</si>
  <si>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</si>
  <si>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</si>
  <si>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</si>
  <si>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</si>
  <si>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</si>
  <si>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</si>
  <si>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</si>
  <si>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</si>
  <si>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</si>
  <si>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</si>
  <si>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</si>
  <si>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</si>
  <si>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</si>
  <si>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</si>
  <si>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</si>
  <si>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</si>
  <si>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</si>
  <si>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</si>
  <si>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</si>
  <si>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</si>
  <si>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</si>
  <si>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</si>
  <si>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</si>
  <si>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</si>
  <si>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</si>
  <si>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</si>
  <si>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</si>
  <si>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</si>
  <si>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</si>
  <si>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</si>
  <si>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</si>
  <si>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</si>
  <si>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</si>
  <si>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</si>
  <si>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</si>
  <si>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</si>
  <si>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</si>
  <si>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</si>
  <si>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</si>
  <si>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</si>
  <si>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</si>
  <si>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</si>
  <si>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</si>
  <si>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</si>
  <si>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</si>
  <si>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Contrôle réglementaires et officiele suivantes à savoirs</t>
  </si>
  <si>
    <t>RUE TURKIE</t>
  </si>
  <si>
    <t>757966CAM000</t>
  </si>
  <si>
    <t>Ste GTS WIKAYA</t>
  </si>
  <si>
    <t>FACTURE 67/23</t>
  </si>
  <si>
    <t>40,000</t>
  </si>
  <si>
    <t>50,000</t>
  </si>
  <si>
    <t>1-réservoirs: 5 litres CO2</t>
  </si>
  <si>
    <t>2-réservoirs:10 LITRES -co2</t>
  </si>
  <si>
    <t xml:space="preserve">                          Arrêtée la présente facture à la somme de : SEPT CENT QUATRE VINGT SIX DINARS et 400 MILLIMES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</si>
</sst>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4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64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49" fontId="10" fillId="0" borderId="14" xfId="0" applyNumberFormat="1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0" borderId="17" xfId="0" applyNumberFormat="1" applyFont="1" applyFill="1" applyBorder="1" applyAlignment="1">
      <alignment horizontal="right" vertical="center"/>
    </xf>
    <xf numFmtId="166" fontId="10" fillId="2" borderId="16" xfId="0" applyNumberFormat="1" applyFont="1" applyFill="1" applyBorder="1" applyAlignment="1">
      <alignment horizontal="right" vertical="center"/>
    </xf>
    <xf numFmtId="9" fontId="10" fillId="0" borderId="16" xfId="0" applyNumberFormat="1" applyFont="1" applyBorder="1" applyAlignment="1">
      <alignment horizontal="right" vertical="center"/>
    </xf>
    <xf numFmtId="166" fontId="10" fillId="0" borderId="16" xfId="0" applyNumberFormat="1" applyFont="1" applyBorder="1" applyAlignment="1">
      <alignment horizontal="right" vertical="center"/>
    </xf>
    <xf numFmtId="166" fontId="10" fillId="3" borderId="17" xfId="0" applyNumberFormat="1" applyFont="1" applyFill="1" applyBorder="1" applyAlignment="1">
      <alignment horizontal="right" vertical="center"/>
    </xf>
    <xf numFmtId="0" fontId="23" fillId="0" borderId="0" xfId="0" applyFont="1"/>
    <xf numFmtId="0" fontId="10" fillId="0" borderId="18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 wrapText="1"/>
    </xf>
    <xf numFmtId="0" fontId="10" fillId="0" borderId="10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/>
    </xf>
    <xf numFmtId="0" fontId="10" fillId="0" borderId="10" xfId="0" applyFont="1" applyFill="1" applyBorder="1" applyAlignment="1">
      <alignment horizontal="left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13" workbookViewId="0">
      <selection activeCell="H12" sqref="H12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30.28515625" customWidth="1"/>
    <col min="4" max="4" width="11.28515625" customWidth="1"/>
    <col min="5" max="5" width="23.5703125" customWidth="1"/>
    <col min="6" max="6" width="25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1"/>
      <c r="D5" s="51"/>
      <c r="E5" s="51"/>
    </row>
    <row r="6" spans="1:6" ht="7.5" customHeight="1" x14ac:dyDescent="0.2">
      <c r="A6" s="35"/>
      <c r="B6" s="35"/>
      <c r="C6" s="51"/>
      <c r="D6" s="51"/>
      <c r="E6" s="51"/>
    </row>
    <row r="7" spans="1:6" x14ac:dyDescent="0.2">
      <c r="A7" s="35"/>
      <c r="B7" s="35"/>
      <c r="C7" s="51"/>
      <c r="D7" s="51"/>
      <c r="E7" s="51"/>
    </row>
    <row r="8" spans="1:6" s="1" customFormat="1" ht="57.75" customHeight="1" x14ac:dyDescent="0.2">
      <c r="A8" s="59" t="s">
        <v>63</v>
      </c>
      <c r="B8" s="59"/>
      <c r="C8" s="59"/>
      <c r="D8" s="59"/>
      <c r="E8" s="59"/>
      <c r="F8" s="59"/>
    </row>
    <row r="9" spans="1:6" ht="24.75" customHeight="1" x14ac:dyDescent="0.4">
      <c r="B9" s="2"/>
      <c r="C9" s="2"/>
      <c r="D9" s="2"/>
      <c r="E9" s="19" t="s">
        <v>9</v>
      </c>
      <c r="F9" s="9">
        <v>45084</v>
      </c>
    </row>
    <row r="10" spans="1:6" ht="15.75" x14ac:dyDescent="0.25">
      <c r="B10" s="3"/>
      <c r="E10" s="20"/>
      <c r="F10" s="10"/>
    </row>
    <row r="11" spans="1:6" ht="15.75" x14ac:dyDescent="0.25">
      <c r="B11" s="3"/>
      <c r="E11" s="19" t="s">
        <v>8</v>
      </c>
      <c r="F11" s="10" t="s">
        <v>62</v>
      </c>
    </row>
    <row r="12" spans="1:6" ht="9.75" customHeight="1" x14ac:dyDescent="0.25">
      <c r="B12" s="3"/>
      <c r="E12" s="19"/>
      <c r="F12" s="12"/>
    </row>
    <row r="13" spans="1:6" ht="15.75" x14ac:dyDescent="0.25">
      <c r="B13" s="3"/>
      <c r="E13" s="33" t="s">
        <v>7</v>
      </c>
      <c r="F13" s="17" t="s">
        <v>60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  <c r="F15" s="10" t="s">
        <v>61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0" t="s">
        <v>0</v>
      </c>
      <c r="C19" s="61"/>
      <c r="D19" s="38" t="s">
        <v>55</v>
      </c>
      <c r="E19" s="39" t="s">
        <v>53</v>
      </c>
      <c r="F19" s="42" t="s">
        <v>54</v>
      </c>
    </row>
    <row r="20" spans="2:8" s="1" customFormat="1" ht="45" customHeight="1" x14ac:dyDescent="0.2">
      <c r="B20" s="62" t="s">
        <v>59</v>
      </c>
      <c r="C20" s="63"/>
      <c r="D20" s="36"/>
      <c r="E20" s="40"/>
      <c r="F20" s="43"/>
    </row>
    <row r="21" spans="2:8" s="1" customFormat="1" ht="20.100000000000001" customHeight="1" x14ac:dyDescent="0.2">
      <c r="B21" s="56" t="s">
        <v>66</v>
      </c>
      <c r="C21" s="57"/>
      <c r="D21" s="36">
        <v>9</v>
      </c>
      <c r="E21" s="40" t="s">
        <v>64</v>
      </c>
      <c r="F21" s="43">
        <f t="shared" ref="F21:F22" si="0">SUM(D21*E21)</f>
        <v>360</v>
      </c>
    </row>
    <row r="22" spans="2:8" s="1" customFormat="1" ht="20.100000000000001" customHeight="1" x14ac:dyDescent="0.2">
      <c r="B22" s="56" t="s">
        <v>67</v>
      </c>
      <c r="C22" s="57"/>
      <c r="D22" s="36">
        <v>6</v>
      </c>
      <c r="E22" s="40" t="s">
        <v>65</v>
      </c>
      <c r="F22" s="43">
        <f t="shared" si="0"/>
        <v>300</v>
      </c>
      <c r="H22" s="8"/>
    </row>
    <row r="23" spans="2:8" s="1" customFormat="1" ht="20.100000000000001" customHeight="1" x14ac:dyDescent="0.2">
      <c r="B23" s="56"/>
      <c r="C23" s="57"/>
      <c r="D23" s="36"/>
      <c r="E23" s="40"/>
      <c r="F23" s="43"/>
    </row>
    <row r="24" spans="2:8" s="1" customFormat="1" ht="20.100000000000001" customHeight="1" x14ac:dyDescent="0.2">
      <c r="B24" s="58"/>
      <c r="C24" s="53"/>
      <c r="D24" s="36"/>
      <c r="E24" s="40"/>
      <c r="F24" s="43"/>
    </row>
    <row r="25" spans="2:8" s="1" customFormat="1" ht="20.100000000000001" customHeight="1" x14ac:dyDescent="0.2">
      <c r="B25" s="58"/>
      <c r="C25" s="53"/>
      <c r="D25" s="36"/>
      <c r="E25" s="40"/>
      <c r="F25" s="43"/>
    </row>
    <row r="26" spans="2:8" s="1" customFormat="1" ht="20.100000000000001" customHeight="1" x14ac:dyDescent="0.2">
      <c r="B26" s="58"/>
      <c r="C26" s="53"/>
      <c r="D26" s="36"/>
      <c r="E26" s="40"/>
      <c r="F26" s="43"/>
    </row>
    <row r="27" spans="2:8" s="1" customFormat="1" ht="20.100000000000001" customHeight="1" x14ac:dyDescent="0.2">
      <c r="B27" s="58"/>
      <c r="C27" s="53"/>
      <c r="D27" s="36"/>
      <c r="E27" s="40"/>
      <c r="F27" s="43"/>
    </row>
    <row r="28" spans="2:8" s="1" customFormat="1" ht="20.100000000000001" customHeight="1" x14ac:dyDescent="0.2">
      <c r="B28" s="52"/>
      <c r="C28" s="53"/>
      <c r="D28" s="36"/>
      <c r="E28" s="40"/>
      <c r="F28" s="43"/>
    </row>
    <row r="29" spans="2:8" s="1" customFormat="1" ht="20.100000000000001" customHeight="1" x14ac:dyDescent="0.2">
      <c r="B29" s="54"/>
      <c r="C29" s="55"/>
      <c r="D29" s="50"/>
      <c r="E29" s="41"/>
      <c r="F29" s="44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5">
        <f>SUM(F20:F29)</f>
        <v>660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6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5">
        <f>F30*F31</f>
        <v>125.4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7">
        <f>+F32+F30</f>
        <v>785.4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3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8">
        <f>+F33+F34</f>
        <v>786.4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68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49" t="s">
        <v>57</v>
      </c>
      <c r="E50" s="14"/>
      <c r="F50" s="13"/>
    </row>
    <row r="51" spans="2:6" ht="21" customHeight="1" x14ac:dyDescent="0.3">
      <c r="B51" s="49" t="s">
        <v>58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2022-12-27T13:26:28Z</cp:lastPrinted>
  <dcterms:created xsi:type="dcterms:W3CDTF">2000-07-27T22:20:36Z</dcterms:created>
  <dcterms:modified xsi:type="dcterms:W3CDTF">2023-06-07T09:29:24Z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