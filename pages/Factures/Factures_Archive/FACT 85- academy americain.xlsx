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C DIRECTION\Desktop\direction\facure TPC\2023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31" i="11" l="1"/>
  <c r="G25" i="32"/>
  <c r="D29" i="32"/>
  <c r="E2" i="32" l="1"/>
  <c r="H2" i="32" s="1"/>
  <c r="F32" i="11" l="1"/>
  <c r="F34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<sst xmlns="http://schemas.openxmlformats.org/spreadsheetml/2006/main" count="72" uniqueCount="69">
  <si>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</si>
  <si>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</si>
  <si>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</si>
  <si>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</si>
  <si>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</si>
  <si>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</si>
  <si>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</si>
  <si>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</si>
  <si>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</si>
  <si>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</si>
  <si>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</si>
  <si>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</si>
  <si>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</si>
  <si>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</si>
  <si>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</si>
  <si>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</si>
  <si>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</si>
  <si>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</si>
  <si>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</si>
  <si>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</si>
  <si>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</si>
  <si>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</si>
  <si>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</si>
  <si>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</si>
  <si>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</si>
  <si>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</si>
  <si>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</si>
  <si>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</si>
  <si>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</si>
  <si>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</si>
  <si>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</si>
  <si>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</si>
  <si>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</si>
  <si>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</si>
  <si>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</si>
  <si>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</si>
  <si>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</si>
  <si>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</si>
  <si>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</si>
  <si>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</si>
  <si>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</si>
  <si>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</si>
  <si>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</si>
  <si>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</si>
  <si>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</si>
  <si>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</si>
  <si>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</si>
  <si>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</si>
  <si>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</si>
  <si>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</si>
  <si>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</si>
  <si>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</si>
  <si>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</si>
  <si>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</si>
  <si>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</si>
  <si>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</si>
  <si>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</si>
  <si>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</si>
  <si>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</si>
  <si>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Contrôle réglementaires des installations suivantes à savoirs:</t>
  </si>
  <si>
    <t xml:space="preserve"> 1-Installations electriques</t>
  </si>
  <si>
    <t xml:space="preserve">ACADEMY AMERICAINE </t>
  </si>
  <si>
    <t>TUNISIENNE DE TOURISME</t>
  </si>
  <si>
    <t>9,RUE NEW DELHI -BELVEDERE</t>
  </si>
  <si>
    <t>164704 OH</t>
  </si>
  <si>
    <t>ENS</t>
  </si>
  <si>
    <t>FACTURE 85/2023</t>
  </si>
  <si>
    <t>671,429</t>
  </si>
  <si>
    <t xml:space="preserve">                          Arrêtée la présente facture à la somme de : HUIT CENT  DINARS et 001 millimes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</si>
</sst>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5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b/>
      <sz val="12"/>
      <color indexed="63"/>
      <name val="Book Antiqua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0" xfId="0" applyNumberFormat="1" applyFont="1" applyFill="1" applyBorder="1" applyAlignment="1">
      <alignment horizontal="center" vertical="center"/>
    </xf>
    <xf numFmtId="49" fontId="10" fillId="0" borderId="11" xfId="0" applyNumberFormat="1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166" fontId="10" fillId="0" borderId="13" xfId="0" applyNumberFormat="1" applyFont="1" applyFill="1" applyBorder="1" applyAlignment="1">
      <alignment horizontal="right" vertical="center"/>
    </xf>
    <xf numFmtId="166" fontId="10" fillId="0" borderId="14" xfId="0" applyNumberFormat="1" applyFont="1" applyFill="1" applyBorder="1" applyAlignment="1">
      <alignment horizontal="right" vertical="center"/>
    </xf>
    <xf numFmtId="166" fontId="10" fillId="2" borderId="13" xfId="0" applyNumberFormat="1" applyFont="1" applyFill="1" applyBorder="1" applyAlignment="1">
      <alignment horizontal="right" vertical="center"/>
    </xf>
    <xf numFmtId="9" fontId="10" fillId="0" borderId="13" xfId="0" applyNumberFormat="1" applyFont="1" applyBorder="1" applyAlignment="1">
      <alignment horizontal="right" vertical="center"/>
    </xf>
    <xf numFmtId="166" fontId="10" fillId="0" borderId="13" xfId="0" applyNumberFormat="1" applyFont="1" applyBorder="1" applyAlignment="1">
      <alignment horizontal="right" vertical="center"/>
    </xf>
    <xf numFmtId="166" fontId="10" fillId="3" borderId="14" xfId="0" applyNumberFormat="1" applyFont="1" applyFill="1" applyBorder="1" applyAlignment="1">
      <alignment horizontal="right" vertical="center"/>
    </xf>
    <xf numFmtId="0" fontId="23" fillId="0" borderId="0" xfId="0" applyFont="1"/>
    <xf numFmtId="0" fontId="10" fillId="0" borderId="3" xfId="0" applyFont="1" applyFill="1" applyBorder="1" applyAlignment="1">
      <alignment horizontal="center" vertical="center"/>
    </xf>
    <xf numFmtId="0" fontId="24" fillId="0" borderId="0" xfId="0" applyFont="1" applyAlignment="1">
      <alignment horizontal="left"/>
    </xf>
    <xf numFmtId="49" fontId="10" fillId="0" borderId="17" xfId="0" applyNumberFormat="1" applyFont="1" applyFill="1" applyBorder="1" applyAlignment="1">
      <alignment horizontal="center" vertical="center"/>
    </xf>
    <xf numFmtId="166" fontId="10" fillId="0" borderId="13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left" wrapText="1"/>
    </xf>
    <xf numFmtId="49" fontId="10" fillId="0" borderId="17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10" fillId="0" borderId="15" xfId="0" applyFont="1" applyFill="1" applyBorder="1" applyAlignment="1">
      <alignment horizontal="left" vertical="center" wrapText="1"/>
    </xf>
    <xf numFmtId="0" fontId="10" fillId="0" borderId="16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/>
    </xf>
    <xf numFmtId="0" fontId="6" fillId="0" borderId="9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38</xdr:row>
      <xdr:rowOff>123825</xdr:rowOff>
    </xdr:from>
    <xdr:to>
      <xdr:col>4</xdr:col>
      <xdr:colOff>504825</xdr:colOff>
      <xdr:row>46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46</xdr:row>
      <xdr:rowOff>152401</xdr:rowOff>
    </xdr:from>
    <xdr:to>
      <xdr:col>6</xdr:col>
      <xdr:colOff>1057275</xdr:colOff>
      <xdr:row>51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1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2" t="s">
        <v>10</v>
      </c>
      <c r="B1" s="23" t="s">
        <v>11</v>
      </c>
      <c r="C1" s="22" t="s">
        <v>12</v>
      </c>
      <c r="D1" s="22" t="s">
        <v>13</v>
      </c>
      <c r="E1" s="22" t="s">
        <v>14</v>
      </c>
      <c r="F1" s="22" t="s">
        <v>15</v>
      </c>
      <c r="G1" s="22" t="s">
        <v>16</v>
      </c>
      <c r="H1" s="22" t="s">
        <v>20</v>
      </c>
    </row>
    <row r="2" spans="1:8" ht="13.5" x14ac:dyDescent="0.25">
      <c r="A2" s="33" t="s">
        <v>22</v>
      </c>
      <c r="B2" s="31">
        <v>43838</v>
      </c>
      <c r="C2" s="30" t="s">
        <v>21</v>
      </c>
      <c r="D2" s="29"/>
      <c r="E2" s="29">
        <f>+D2*13%</f>
        <v>0</v>
      </c>
      <c r="F2" s="29">
        <f>+(D2+E2)*5%</f>
        <v>0</v>
      </c>
      <c r="G2" s="29">
        <v>1</v>
      </c>
      <c r="H2" s="29">
        <f>+D2+E2+0.5</f>
        <v>0.5</v>
      </c>
    </row>
    <row r="3" spans="1:8" ht="13.5" x14ac:dyDescent="0.25">
      <c r="A3" s="33" t="s">
        <v>23</v>
      </c>
      <c r="B3" s="31">
        <v>43847</v>
      </c>
      <c r="C3" s="30" t="s">
        <v>24</v>
      </c>
      <c r="D3" s="29"/>
      <c r="E3" s="29"/>
      <c r="F3" s="29"/>
      <c r="G3" s="29"/>
      <c r="H3" s="29"/>
    </row>
    <row r="4" spans="1:8" ht="13.5" x14ac:dyDescent="0.25">
      <c r="A4" s="33" t="s">
        <v>25</v>
      </c>
      <c r="B4" s="31">
        <v>43853</v>
      </c>
      <c r="C4" s="30" t="s">
        <v>26</v>
      </c>
      <c r="D4" s="29"/>
      <c r="E4" s="29"/>
      <c r="F4" s="29"/>
      <c r="G4" s="29"/>
      <c r="H4" s="29"/>
    </row>
    <row r="5" spans="1:8" ht="13.5" x14ac:dyDescent="0.25">
      <c r="A5" s="33" t="s">
        <v>27</v>
      </c>
      <c r="B5" s="31">
        <v>43859</v>
      </c>
      <c r="C5" s="30" t="s">
        <v>28</v>
      </c>
      <c r="D5" s="29"/>
      <c r="E5" s="29"/>
      <c r="F5" s="29"/>
      <c r="G5" s="29"/>
      <c r="H5" s="29"/>
    </row>
    <row r="6" spans="1:8" ht="13.5" hidden="1" x14ac:dyDescent="0.25">
      <c r="A6" s="33" t="s">
        <v>29</v>
      </c>
      <c r="B6" s="31">
        <v>30</v>
      </c>
      <c r="C6" s="30"/>
      <c r="D6" s="29"/>
      <c r="E6" s="29"/>
      <c r="F6" s="29"/>
      <c r="G6" s="29"/>
      <c r="H6" s="29"/>
    </row>
    <row r="7" spans="1:8" ht="13.5" x14ac:dyDescent="0.25">
      <c r="A7" s="33" t="s">
        <v>29</v>
      </c>
      <c r="B7" s="31">
        <v>43860</v>
      </c>
      <c r="C7" s="30" t="s">
        <v>47</v>
      </c>
      <c r="D7" s="29"/>
      <c r="E7" s="29"/>
      <c r="F7" s="29"/>
      <c r="G7" s="29"/>
      <c r="H7" s="29"/>
    </row>
    <row r="8" spans="1:8" ht="13.5" x14ac:dyDescent="0.25">
      <c r="A8" s="33" t="s">
        <v>30</v>
      </c>
      <c r="B8" s="31">
        <v>43871</v>
      </c>
      <c r="C8" s="30" t="s">
        <v>47</v>
      </c>
      <c r="D8" s="29"/>
      <c r="E8" s="29"/>
      <c r="F8" s="29"/>
      <c r="G8" s="29"/>
      <c r="H8" s="29"/>
    </row>
    <row r="9" spans="1:8" ht="13.5" hidden="1" x14ac:dyDescent="0.25">
      <c r="A9" s="33" t="s">
        <v>31</v>
      </c>
      <c r="B9" s="31">
        <v>10</v>
      </c>
      <c r="C9" s="30"/>
      <c r="D9" s="29"/>
      <c r="E9" s="29"/>
      <c r="F9" s="29"/>
      <c r="G9" s="29"/>
      <c r="H9" s="29"/>
    </row>
    <row r="10" spans="1:8" ht="13.5" x14ac:dyDescent="0.25">
      <c r="A10" s="33" t="s">
        <v>32</v>
      </c>
      <c r="B10" s="31">
        <v>43872</v>
      </c>
      <c r="C10" s="30" t="s">
        <v>48</v>
      </c>
      <c r="D10" s="29"/>
      <c r="E10" s="29"/>
      <c r="F10" s="29"/>
      <c r="G10" s="29"/>
      <c r="H10" s="29"/>
    </row>
    <row r="11" spans="1:8" ht="13.5" x14ac:dyDescent="0.25">
      <c r="A11" s="33" t="s">
        <v>33</v>
      </c>
      <c r="B11" s="31">
        <v>43872</v>
      </c>
      <c r="C11" s="30" t="s">
        <v>49</v>
      </c>
      <c r="D11" s="29"/>
      <c r="E11" s="29"/>
      <c r="F11" s="29"/>
      <c r="G11" s="29"/>
      <c r="H11" s="29"/>
    </row>
    <row r="12" spans="1:8" ht="13.5" x14ac:dyDescent="0.25">
      <c r="A12" s="33" t="s">
        <v>34</v>
      </c>
      <c r="B12" s="31">
        <v>43875</v>
      </c>
      <c r="C12" s="30" t="s">
        <v>50</v>
      </c>
      <c r="D12" s="29"/>
      <c r="E12" s="29"/>
      <c r="F12" s="29"/>
      <c r="G12" s="29"/>
      <c r="H12" s="29"/>
    </row>
    <row r="13" spans="1:8" ht="13.5" x14ac:dyDescent="0.25">
      <c r="A13" s="33" t="s">
        <v>35</v>
      </c>
      <c r="B13" s="31">
        <v>43875</v>
      </c>
      <c r="C13" s="30" t="s">
        <v>51</v>
      </c>
      <c r="D13" s="29"/>
      <c r="E13" s="29"/>
      <c r="F13" s="29"/>
      <c r="G13" s="24"/>
      <c r="H13" s="29"/>
    </row>
    <row r="14" spans="1:8" ht="13.5" x14ac:dyDescent="0.25">
      <c r="A14" s="33" t="s">
        <v>36</v>
      </c>
      <c r="B14" s="31">
        <v>43879</v>
      </c>
      <c r="C14" s="30" t="s">
        <v>52</v>
      </c>
      <c r="D14" s="29"/>
      <c r="E14" s="29"/>
      <c r="F14" s="29"/>
      <c r="G14" s="24"/>
      <c r="H14" s="29"/>
    </row>
    <row r="15" spans="1:8" ht="13.5" x14ac:dyDescent="0.25">
      <c r="A15" s="33" t="s">
        <v>37</v>
      </c>
      <c r="B15" s="31"/>
      <c r="C15" s="30"/>
      <c r="D15" s="29"/>
      <c r="E15" s="29"/>
      <c r="F15" s="29"/>
      <c r="G15" s="24"/>
      <c r="H15" s="29"/>
    </row>
    <row r="16" spans="1:8" ht="13.5" x14ac:dyDescent="0.25">
      <c r="A16" s="33" t="s">
        <v>38</v>
      </c>
      <c r="B16" s="31"/>
      <c r="C16" s="30"/>
      <c r="D16" s="29"/>
      <c r="E16" s="29"/>
      <c r="F16" s="29"/>
      <c r="G16" s="24"/>
      <c r="H16" s="29"/>
    </row>
    <row r="17" spans="1:8" ht="13.5" x14ac:dyDescent="0.25">
      <c r="A17" s="33" t="s">
        <v>39</v>
      </c>
      <c r="B17" s="31"/>
      <c r="C17" s="30"/>
      <c r="D17" s="29"/>
      <c r="E17" s="29"/>
      <c r="F17" s="29"/>
      <c r="G17" s="24"/>
      <c r="H17" s="29"/>
    </row>
    <row r="18" spans="1:8" ht="13.5" x14ac:dyDescent="0.25">
      <c r="A18" s="33" t="s">
        <v>40</v>
      </c>
      <c r="B18" s="31"/>
      <c r="C18" s="30"/>
      <c r="D18" s="29"/>
      <c r="E18" s="29"/>
      <c r="F18" s="29"/>
      <c r="G18" s="24"/>
      <c r="H18" s="29"/>
    </row>
    <row r="19" spans="1:8" ht="13.5" x14ac:dyDescent="0.25">
      <c r="A19" s="33" t="s">
        <v>41</v>
      </c>
      <c r="B19" s="31"/>
      <c r="C19" s="30"/>
      <c r="D19" s="29"/>
      <c r="E19" s="29"/>
      <c r="F19" s="29"/>
      <c r="G19" s="24"/>
      <c r="H19" s="29"/>
    </row>
    <row r="20" spans="1:8" ht="13.5" x14ac:dyDescent="0.25">
      <c r="A20" s="33" t="s">
        <v>42</v>
      </c>
      <c r="B20" s="31"/>
      <c r="C20" s="30"/>
      <c r="D20" s="29"/>
      <c r="E20" s="29"/>
      <c r="F20" s="29"/>
      <c r="G20" s="24"/>
      <c r="H20" s="29"/>
    </row>
    <row r="21" spans="1:8" ht="13.5" x14ac:dyDescent="0.25">
      <c r="A21" s="33" t="s">
        <v>43</v>
      </c>
      <c r="B21" s="31"/>
      <c r="C21" s="30"/>
      <c r="D21" s="29"/>
      <c r="E21" s="29"/>
      <c r="F21" s="29"/>
      <c r="G21" s="24"/>
      <c r="H21" s="29"/>
    </row>
    <row r="22" spans="1:8" ht="13.5" x14ac:dyDescent="0.25">
      <c r="A22" s="33" t="s">
        <v>44</v>
      </c>
      <c r="B22" s="31"/>
      <c r="C22" s="30"/>
      <c r="D22" s="29"/>
      <c r="E22" s="29"/>
      <c r="F22" s="29"/>
      <c r="G22" s="29"/>
      <c r="H22" s="29"/>
    </row>
    <row r="23" spans="1:8" ht="13.5" x14ac:dyDescent="0.25">
      <c r="A23" s="33" t="s">
        <v>45</v>
      </c>
      <c r="B23" s="31"/>
      <c r="C23" s="30"/>
      <c r="D23" s="29"/>
      <c r="E23" s="29"/>
      <c r="F23" s="29"/>
      <c r="G23" s="29"/>
      <c r="H23" s="29"/>
    </row>
    <row r="24" spans="1:8" ht="13.5" x14ac:dyDescent="0.25">
      <c r="A24" s="33" t="s">
        <v>46</v>
      </c>
      <c r="B24" s="31"/>
      <c r="C24" s="30"/>
      <c r="D24" s="29"/>
      <c r="E24" s="29"/>
      <c r="F24" s="29"/>
      <c r="G24" s="24"/>
      <c r="H24" s="29"/>
    </row>
    <row r="25" spans="1:8" ht="15" x14ac:dyDescent="0.3">
      <c r="A25" s="25"/>
      <c r="B25" s="25"/>
      <c r="C25" s="25"/>
      <c r="D25" s="26">
        <f>SUM(D2:D24)</f>
        <v>0</v>
      </c>
      <c r="E25" s="26">
        <f>SUM(E2:E24)</f>
        <v>0</v>
      </c>
      <c r="F25" s="26">
        <f>SUM(F2:F24)</f>
        <v>0</v>
      </c>
      <c r="G25" s="26">
        <f>SUM(G2:G24)</f>
        <v>1</v>
      </c>
      <c r="H25" s="26"/>
    </row>
    <row r="26" spans="1:8" x14ac:dyDescent="0.2">
      <c r="D26" s="17"/>
    </row>
    <row r="27" spans="1:8" ht="15" x14ac:dyDescent="0.3">
      <c r="A27" s="25"/>
      <c r="B27" s="25"/>
      <c r="C27" s="25" t="s">
        <v>17</v>
      </c>
      <c r="D27" s="26"/>
      <c r="E27" s="26"/>
      <c r="F27" s="28" t="e">
        <f>(E27)/D25</f>
        <v>#DIV/0!</v>
      </c>
      <c r="G27" s="26"/>
      <c r="H27" s="26"/>
    </row>
    <row r="29" spans="1:8" ht="15" x14ac:dyDescent="0.3">
      <c r="A29" s="25"/>
      <c r="B29" s="25"/>
      <c r="C29" s="25" t="s">
        <v>18</v>
      </c>
      <c r="D29" s="26">
        <f>150+90+75</f>
        <v>315</v>
      </c>
      <c r="E29" s="26"/>
      <c r="F29" s="26"/>
      <c r="G29" s="27"/>
      <c r="H29" s="27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2"/>
  <sheetViews>
    <sheetView showGridLines="0" tabSelected="1" topLeftCell="A29" workbookViewId="0">
      <selection activeCell="H31" sqref="H31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4.425781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4"/>
      <c r="B3" s="34"/>
    </row>
    <row r="4" spans="1:6" x14ac:dyDescent="0.2">
      <c r="A4" s="34"/>
      <c r="B4" s="34"/>
    </row>
    <row r="5" spans="1:6" x14ac:dyDescent="0.2">
      <c r="A5" s="34"/>
      <c r="B5" s="34"/>
      <c r="C5" s="56"/>
      <c r="D5" s="56"/>
      <c r="E5" s="56"/>
    </row>
    <row r="6" spans="1:6" ht="7.5" customHeight="1" x14ac:dyDescent="0.2">
      <c r="A6" s="34"/>
      <c r="B6" s="34"/>
      <c r="C6" s="56"/>
      <c r="D6" s="56"/>
      <c r="E6" s="56"/>
    </row>
    <row r="7" spans="1:6" x14ac:dyDescent="0.2">
      <c r="A7" s="34"/>
      <c r="B7" s="34"/>
      <c r="C7" s="56"/>
      <c r="D7" s="56"/>
      <c r="E7" s="56"/>
    </row>
    <row r="8" spans="1:6" s="1" customFormat="1" ht="57.75" customHeight="1" x14ac:dyDescent="0.2">
      <c r="A8" s="61" t="s">
        <v>66</v>
      </c>
      <c r="B8" s="61"/>
      <c r="C8" s="61"/>
      <c r="D8" s="61"/>
      <c r="E8" s="61"/>
      <c r="F8" s="61"/>
    </row>
    <row r="9" spans="1:6" ht="24.75" customHeight="1" x14ac:dyDescent="0.4">
      <c r="B9" s="2"/>
      <c r="C9" s="2"/>
      <c r="D9" s="2"/>
      <c r="E9" s="18" t="s">
        <v>9</v>
      </c>
      <c r="F9" s="9">
        <v>45125</v>
      </c>
    </row>
    <row r="10" spans="1:6" ht="15.75" x14ac:dyDescent="0.25">
      <c r="B10" s="3"/>
      <c r="E10" s="19"/>
      <c r="F10" s="10"/>
    </row>
    <row r="11" spans="1:6" ht="16.5" x14ac:dyDescent="0.3">
      <c r="B11" s="3"/>
      <c r="E11" s="18" t="s">
        <v>8</v>
      </c>
      <c r="F11" s="51" t="s">
        <v>61</v>
      </c>
    </row>
    <row r="12" spans="1:6" ht="33.75" customHeight="1" x14ac:dyDescent="0.3">
      <c r="B12" s="3"/>
      <c r="E12" s="18"/>
      <c r="F12" s="54" t="s">
        <v>62</v>
      </c>
    </row>
    <row r="13" spans="1:6" ht="31.5" x14ac:dyDescent="0.25">
      <c r="B13" s="3"/>
      <c r="E13" s="32" t="s">
        <v>7</v>
      </c>
      <c r="F13" s="16" t="s">
        <v>63</v>
      </c>
    </row>
    <row r="14" spans="1:6" ht="6.75" customHeight="1" x14ac:dyDescent="0.25">
      <c r="B14" s="3"/>
      <c r="E14" s="20"/>
      <c r="F14" s="16"/>
    </row>
    <row r="15" spans="1:6" ht="15.75" x14ac:dyDescent="0.25">
      <c r="B15" s="3"/>
      <c r="E15" s="18" t="s">
        <v>6</v>
      </c>
      <c r="F15" s="10" t="s">
        <v>64</v>
      </c>
    </row>
    <row r="16" spans="1:6" x14ac:dyDescent="0.2">
      <c r="E16" s="5"/>
      <c r="F16" s="4"/>
    </row>
    <row r="17" spans="2:8" ht="15.75" x14ac:dyDescent="0.25">
      <c r="C17" s="5"/>
      <c r="D17" s="5"/>
      <c r="E17" s="18" t="s">
        <v>56</v>
      </c>
      <c r="F17" s="4"/>
    </row>
    <row r="18" spans="2:8" ht="12.75" customHeight="1" x14ac:dyDescent="0.25">
      <c r="B18" s="5"/>
      <c r="C18" s="5"/>
      <c r="D18" s="5"/>
      <c r="E18" s="18"/>
      <c r="F18" s="5"/>
    </row>
    <row r="19" spans="2:8" s="1" customFormat="1" ht="20.100000000000001" customHeight="1" x14ac:dyDescent="0.2">
      <c r="B19" s="62" t="s">
        <v>0</v>
      </c>
      <c r="C19" s="63"/>
      <c r="D19" s="37" t="s">
        <v>55</v>
      </c>
      <c r="E19" s="39" t="s">
        <v>53</v>
      </c>
      <c r="F19" s="42" t="s">
        <v>54</v>
      </c>
    </row>
    <row r="20" spans="2:8" s="1" customFormat="1" ht="34.5" customHeight="1" x14ac:dyDescent="0.2">
      <c r="B20" s="57" t="s">
        <v>59</v>
      </c>
      <c r="C20" s="58"/>
      <c r="D20" s="50"/>
      <c r="E20" s="40"/>
      <c r="F20" s="43"/>
    </row>
    <row r="21" spans="2:8" s="1" customFormat="1" ht="21.75" customHeight="1" x14ac:dyDescent="0.2">
      <c r="B21" s="57" t="s">
        <v>60</v>
      </c>
      <c r="C21" s="58"/>
      <c r="D21" s="35" t="s">
        <v>65</v>
      </c>
      <c r="E21" s="40" t="s">
        <v>67</v>
      </c>
      <c r="F21" s="55" t="s">
        <v>67</v>
      </c>
    </row>
    <row r="22" spans="2:8" s="1" customFormat="1" ht="30" customHeight="1" x14ac:dyDescent="0.2">
      <c r="B22" s="57"/>
      <c r="C22" s="58"/>
      <c r="D22" s="35"/>
      <c r="E22" s="40"/>
      <c r="F22" s="52"/>
    </row>
    <row r="23" spans="2:8" s="1" customFormat="1" ht="20.100000000000001" customHeight="1" x14ac:dyDescent="0.2">
      <c r="B23" s="57"/>
      <c r="C23" s="58"/>
      <c r="D23" s="35"/>
      <c r="E23" s="40"/>
      <c r="F23" s="52"/>
      <c r="H23" s="8"/>
    </row>
    <row r="24" spans="2:8" s="1" customFormat="1" ht="20.100000000000001" customHeight="1" x14ac:dyDescent="0.2">
      <c r="B24" s="57"/>
      <c r="C24" s="58"/>
      <c r="D24" s="35"/>
      <c r="E24" s="40"/>
      <c r="F24" s="52"/>
    </row>
    <row r="25" spans="2:8" s="1" customFormat="1" ht="20.100000000000001" customHeight="1" x14ac:dyDescent="0.2">
      <c r="B25" s="57"/>
      <c r="C25" s="58"/>
      <c r="D25" s="35"/>
      <c r="E25" s="40"/>
      <c r="F25" s="52"/>
    </row>
    <row r="26" spans="2:8" s="1" customFormat="1" ht="20.100000000000001" customHeight="1" x14ac:dyDescent="0.2">
      <c r="B26" s="57"/>
      <c r="C26" s="58"/>
      <c r="D26" s="35"/>
      <c r="E26" s="40"/>
      <c r="F26" s="52"/>
    </row>
    <row r="27" spans="2:8" s="1" customFormat="1" ht="20.100000000000001" customHeight="1" x14ac:dyDescent="0.2">
      <c r="B27" s="57"/>
      <c r="C27" s="58"/>
      <c r="D27" s="35"/>
      <c r="E27" s="40"/>
      <c r="F27" s="53"/>
    </row>
    <row r="28" spans="2:8" s="1" customFormat="1" ht="20.100000000000001" customHeight="1" x14ac:dyDescent="0.2">
      <c r="B28" s="59"/>
      <c r="C28" s="60"/>
      <c r="D28" s="38"/>
      <c r="E28" s="41"/>
      <c r="F28" s="44"/>
    </row>
    <row r="29" spans="2:8" s="1" customFormat="1" ht="20.100000000000001" customHeight="1" x14ac:dyDescent="0.2">
      <c r="B29" s="7"/>
      <c r="C29" s="6"/>
      <c r="D29" s="6"/>
      <c r="E29" s="14" t="s">
        <v>5</v>
      </c>
      <c r="F29" s="45">
        <v>671.42899999999997</v>
      </c>
    </row>
    <row r="30" spans="2:8" s="1" customFormat="1" ht="20.100000000000001" customHeight="1" x14ac:dyDescent="0.2">
      <c r="B30" s="7"/>
      <c r="C30" s="6"/>
      <c r="D30" s="6"/>
      <c r="E30" s="14" t="s">
        <v>1</v>
      </c>
      <c r="F30" s="46">
        <v>0.19</v>
      </c>
    </row>
    <row r="31" spans="2:8" s="1" customFormat="1" ht="20.100000000000001" customHeight="1" x14ac:dyDescent="0.2">
      <c r="B31" s="7"/>
      <c r="C31" s="6"/>
      <c r="D31" s="6"/>
      <c r="E31" s="14" t="s">
        <v>2</v>
      </c>
      <c r="F31" s="45">
        <f>+F29*F30</f>
        <v>127.57151</v>
      </c>
    </row>
    <row r="32" spans="2:8" s="1" customFormat="1" ht="20.100000000000001" customHeight="1" x14ac:dyDescent="0.2">
      <c r="B32" s="7"/>
      <c r="C32" s="6"/>
      <c r="D32" s="6"/>
      <c r="E32" s="14" t="s">
        <v>3</v>
      </c>
      <c r="F32" s="47">
        <f>+F31+F29</f>
        <v>799.00050999999996</v>
      </c>
    </row>
    <row r="33" spans="1:9" s="1" customFormat="1" ht="20.100000000000001" customHeight="1" x14ac:dyDescent="0.2">
      <c r="B33" s="6"/>
      <c r="C33" s="6"/>
      <c r="D33" s="6"/>
      <c r="E33" s="14" t="s">
        <v>4</v>
      </c>
      <c r="F33" s="43">
        <v>1</v>
      </c>
    </row>
    <row r="34" spans="1:9" s="1" customFormat="1" ht="20.100000000000001" customHeight="1" x14ac:dyDescent="0.2">
      <c r="B34"/>
      <c r="C34"/>
      <c r="D34"/>
      <c r="E34" s="14" t="s">
        <v>19</v>
      </c>
      <c r="F34" s="48">
        <f>F32+F33</f>
        <v>800.00050999999996</v>
      </c>
    </row>
    <row r="35" spans="1:9" s="1" customFormat="1" ht="20.100000000000001" customHeight="1" x14ac:dyDescent="0.2">
      <c r="B35"/>
      <c r="C35"/>
      <c r="D35"/>
      <c r="E35" s="14"/>
      <c r="F35" s="14"/>
    </row>
    <row r="36" spans="1:9" s="1" customFormat="1" ht="32.25" customHeight="1" x14ac:dyDescent="0.2">
      <c r="A36" s="15" t="s">
        <v>68</v>
      </c>
      <c r="B36" s="11"/>
      <c r="C36" s="11"/>
      <c r="D36" s="11"/>
      <c r="E36" s="36"/>
      <c r="F36" s="36"/>
    </row>
    <row r="42" spans="1:9" x14ac:dyDescent="0.2">
      <c r="I42" s="17"/>
    </row>
    <row r="49" spans="2:6" ht="21" customHeight="1" x14ac:dyDescent="0.3">
      <c r="B49" s="49" t="s">
        <v>57</v>
      </c>
      <c r="E49" s="13"/>
      <c r="F49" s="12"/>
    </row>
    <row r="50" spans="2:6" ht="21" customHeight="1" x14ac:dyDescent="0.3">
      <c r="B50" s="49" t="s">
        <v>58</v>
      </c>
      <c r="E50" s="13"/>
      <c r="F50" s="12"/>
    </row>
    <row r="51" spans="2:6" ht="21" customHeight="1" x14ac:dyDescent="0.2">
      <c r="E51" s="13"/>
      <c r="F51" s="12"/>
    </row>
    <row r="52" spans="2:6" ht="21" customHeight="1" x14ac:dyDescent="0.2">
      <c r="E52" s="13"/>
      <c r="F52" s="12"/>
    </row>
  </sheetData>
  <mergeCells count="12">
    <mergeCell ref="C5:E7"/>
    <mergeCell ref="B27:C27"/>
    <mergeCell ref="B28:C28"/>
    <mergeCell ref="B23:C23"/>
    <mergeCell ref="B24:C24"/>
    <mergeCell ref="B25:C25"/>
    <mergeCell ref="B26:C26"/>
    <mergeCell ref="B22:C22"/>
    <mergeCell ref="A8:F8"/>
    <mergeCell ref="B19:C19"/>
    <mergeCell ref="B20:C20"/>
    <mergeCell ref="B21:C21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2022-05-26T09:35:39Z</cp:lastPrinted>
  <dcterms:created xsi:type="dcterms:W3CDTF">2000-07-27T22:20:36Z</dcterms:created>
  <dcterms:modified xsi:type="dcterms:W3CDTF">2023-07-18T12:14:34Z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