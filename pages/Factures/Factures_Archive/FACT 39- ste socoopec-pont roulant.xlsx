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<sst xmlns="http://schemas.openxmlformats.org/spreadsheetml/2006/main" count="69" uniqueCount="67">
  <si>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</si>
  <si>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</si>
  <si>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</si>
  <si>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</si>
  <si>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</si>
  <si>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</si>
  <si>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</si>
  <si>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</si>
  <si>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</si>
  <si>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</si>
  <si>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</si>
  <si>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</si>
  <si>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</si>
  <si>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</si>
  <si>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</si>
  <si>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</si>
  <si>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</si>
  <si>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</si>
  <si>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</si>
  <si>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</si>
  <si>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</si>
  <si>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</si>
  <si>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</si>
  <si>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</si>
  <si>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</si>
  <si>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</si>
  <si>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</si>
  <si>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</si>
  <si>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</si>
  <si>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</si>
  <si>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</si>
  <si>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</si>
  <si>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</si>
  <si>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</si>
  <si>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</si>
  <si>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</si>
  <si>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</si>
  <si>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</si>
  <si>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</si>
  <si>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</si>
  <si>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</si>
  <si>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</si>
  <si>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</si>
  <si>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</si>
  <si>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</si>
  <si>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</si>
  <si>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</si>
  <si>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</si>
  <si>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</si>
  <si>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</si>
  <si>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</si>
  <si>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</si>
  <si>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</si>
  <si>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</si>
  <si>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</si>
  <si>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</si>
  <si>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</si>
  <si>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</si>
  <si>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</si>
  <si>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SOCOOPEC</t>
  </si>
  <si>
    <t>66,AVENUE DE CARTHAGE</t>
  </si>
  <si>
    <t>001395PAM000</t>
  </si>
  <si>
    <t>Contrôle technique des appareils de levage</t>
  </si>
  <si>
    <t>pont roulant</t>
  </si>
  <si>
    <t>FACTURE 39/2023</t>
  </si>
  <si>
    <t>900,000</t>
  </si>
  <si>
    <t xml:space="preserve">                          Arrêtée la présente facture à la somme de : MILLE SOIXANTE DOUZE DINARS DINARS ET 000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</si>
</sst>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7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9" fillId="0" borderId="15" xfId="0" applyNumberFormat="1" applyFont="1" applyFill="1" applyBorder="1" applyAlignment="1">
      <alignment horizontal="right" vertical="center"/>
    </xf>
    <xf numFmtId="166" fontId="9" fillId="0" borderId="16" xfId="0" applyNumberFormat="1" applyFont="1" applyFill="1" applyBorder="1" applyAlignment="1">
      <alignment horizontal="right" vertical="center"/>
    </xf>
    <xf numFmtId="166" fontId="9" fillId="2" borderId="15" xfId="0" applyNumberFormat="1" applyFont="1" applyFill="1" applyBorder="1" applyAlignment="1">
      <alignment horizontal="right" vertical="center"/>
    </xf>
    <xf numFmtId="9" fontId="9" fillId="0" borderId="15" xfId="0" applyNumberFormat="1" applyFont="1" applyBorder="1" applyAlignment="1">
      <alignment horizontal="right" vertical="center"/>
    </xf>
    <xf numFmtId="166" fontId="9" fillId="0" borderId="15" xfId="0" applyNumberFormat="1" applyFont="1" applyBorder="1" applyAlignment="1">
      <alignment horizontal="right" vertical="center"/>
    </xf>
    <xf numFmtId="166" fontId="9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A38" sqref="A38:XFD3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64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45050</v>
      </c>
    </row>
    <row r="10" spans="1:6" ht="15.75" x14ac:dyDescent="0.25">
      <c r="B10" s="3"/>
      <c r="E10" s="20"/>
      <c r="F10" s="10"/>
    </row>
    <row r="11" spans="1:6" ht="34.5" customHeight="1" x14ac:dyDescent="0.2">
      <c r="B11" s="3"/>
      <c r="E11" s="33" t="s">
        <v>8</v>
      </c>
      <c r="F11" s="50" t="s">
        <v>59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33" t="s">
        <v>6</v>
      </c>
      <c r="F15" s="17" t="s">
        <v>61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7" t="s">
        <v>55</v>
      </c>
      <c r="E19" s="39" t="s">
        <v>53</v>
      </c>
      <c r="F19" s="42" t="s">
        <v>54</v>
      </c>
    </row>
    <row r="20" spans="2:8" s="1" customFormat="1" ht="24" customHeight="1" x14ac:dyDescent="0.2">
      <c r="B20" s="56" t="s">
        <v>62</v>
      </c>
      <c r="C20" s="57"/>
      <c r="D20" s="36"/>
      <c r="E20" s="40"/>
      <c r="F20" s="43"/>
    </row>
    <row r="21" spans="2:8" s="1" customFormat="1" ht="21.75" customHeight="1" x14ac:dyDescent="0.2">
      <c r="B21" s="56" t="s">
        <v>63</v>
      </c>
      <c r="C21" s="57"/>
      <c r="D21" s="36">
        <v>1</v>
      </c>
      <c r="E21" s="40" t="s">
        <v>65</v>
      </c>
      <c r="F21" s="43">
        <v>900</v>
      </c>
    </row>
    <row r="22" spans="2:8" s="1" customFormat="1" ht="30" customHeight="1" x14ac:dyDescent="0.2">
      <c r="B22" s="56"/>
      <c r="C22" s="57"/>
      <c r="D22" s="36"/>
      <c r="E22" s="40"/>
      <c r="F22" s="43"/>
    </row>
    <row r="23" spans="2:8" s="1" customFormat="1" ht="20.100000000000001" customHeight="1" x14ac:dyDescent="0.2">
      <c r="B23" s="56"/>
      <c r="C23" s="57"/>
      <c r="D23" s="36"/>
      <c r="E23" s="40"/>
      <c r="F23" s="43"/>
      <c r="H23" s="8"/>
    </row>
    <row r="24" spans="2:8" s="1" customFormat="1" ht="20.100000000000001" customHeight="1" x14ac:dyDescent="0.2">
      <c r="B24" s="58"/>
      <c r="C24" s="59"/>
      <c r="D24" s="36"/>
      <c r="E24" s="40"/>
      <c r="F24" s="43"/>
    </row>
    <row r="25" spans="2:8" s="1" customFormat="1" ht="20.100000000000001" customHeight="1" x14ac:dyDescent="0.2">
      <c r="B25" s="60"/>
      <c r="C25" s="53"/>
      <c r="D25" s="36"/>
      <c r="E25" s="40"/>
      <c r="F25" s="43"/>
    </row>
    <row r="26" spans="2:8" s="1" customFormat="1" ht="20.100000000000001" customHeight="1" x14ac:dyDescent="0.2">
      <c r="B26" s="60"/>
      <c r="C26" s="53"/>
      <c r="D26" s="36"/>
      <c r="E26" s="40"/>
      <c r="F26" s="43"/>
    </row>
    <row r="27" spans="2:8" s="1" customFormat="1" ht="20.100000000000001" customHeight="1" x14ac:dyDescent="0.2">
      <c r="B27" s="60"/>
      <c r="C27" s="53"/>
      <c r="D27" s="36"/>
      <c r="E27" s="40"/>
      <c r="F27" s="43"/>
    </row>
    <row r="28" spans="2:8" s="1" customFormat="1" ht="20.100000000000001" customHeight="1" x14ac:dyDescent="0.2">
      <c r="B28" s="60"/>
      <c r="C28" s="53"/>
      <c r="D28" s="36"/>
      <c r="E28" s="40"/>
      <c r="F28" s="43"/>
    </row>
    <row r="29" spans="2:8" s="1" customFormat="1" ht="20.100000000000001" customHeight="1" x14ac:dyDescent="0.2">
      <c r="B29" s="52"/>
      <c r="C29" s="53"/>
      <c r="D29" s="36"/>
      <c r="E29" s="40"/>
      <c r="F29" s="43"/>
    </row>
    <row r="30" spans="2:8" s="1" customFormat="1" ht="20.100000000000001" customHeight="1" x14ac:dyDescent="0.2">
      <c r="B30" s="54"/>
      <c r="C30" s="55"/>
      <c r="D30" s="38"/>
      <c r="E30" s="41"/>
      <c r="F30" s="44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5">
        <f>SUM(F20:F30)</f>
        <v>900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6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5">
        <f>+F31*F32</f>
        <v>171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7">
        <f>+F33+F31</f>
        <v>1071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3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8">
        <f>F34+F35</f>
        <v>1072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66</v>
      </c>
      <c r="B38" s="11"/>
      <c r="C38" s="11"/>
      <c r="D38" s="11"/>
      <c r="E38" s="11"/>
      <c r="F38" s="11"/>
      <c r="G38" s="11"/>
      <c r="H38" s="11"/>
    </row>
    <row r="44" spans="1:9" x14ac:dyDescent="0.2">
      <c r="I44" s="18"/>
    </row>
    <row r="51" spans="2:6" ht="21" customHeight="1" x14ac:dyDescent="0.3">
      <c r="B51" s="49" t="s">
        <v>57</v>
      </c>
      <c r="E51" s="14"/>
      <c r="F51" s="13"/>
    </row>
    <row r="52" spans="2:6" ht="21" customHeight="1" x14ac:dyDescent="0.3">
      <c r="B52" s="49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2021-03-10T11:40:25Z</cp:lastPrinted>
  <dcterms:created xsi:type="dcterms:W3CDTF">2000-07-27T22:20:36Z</dcterms:created>
  <dcterms:modified xsi:type="dcterms:W3CDTF">2023-05-09T09:31:28Z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