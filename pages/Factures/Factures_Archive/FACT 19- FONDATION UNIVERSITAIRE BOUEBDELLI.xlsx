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0" i="11" l="1"/>
  <c r="F28" i="11"/>
  <c r="F27" i="11"/>
  <c r="F25" i="11"/>
  <c r="G25" i="32" l="1"/>
  <c r="D29" i="32"/>
  <c r="E2" i="32" l="1"/>
  <c r="H2" i="32" s="1"/>
  <c r="D25" i="32" l="1"/>
  <c r="F2" i="32"/>
  <c r="E25" i="32" l="1"/>
  <c r="F27" i="32"/>
  <c r="F25" i="32"/>
</calcChain>
</file>

<file path=xl/sharedStrings.xml><?xml version="1.0" encoding="utf-8"?>
<sst xmlns="http://schemas.openxmlformats.org/spreadsheetml/2006/main" count="74" uniqueCount="70">
  <si>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</si>
  <si>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</si>
  <si>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</si>
  <si>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</si>
  <si>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</si>
  <si>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</si>
  <si>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</si>
  <si>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</si>
  <si>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</si>
  <si>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</si>
  <si>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</si>
  <si>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</si>
  <si>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</si>
  <si>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</si>
  <si>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</si>
  <si>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</si>
  <si>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</si>
  <si>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</si>
  <si>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</si>
  <si>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</si>
  <si>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</si>
  <si>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</si>
  <si>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</si>
  <si>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</si>
  <si>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</si>
  <si>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</si>
  <si>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</si>
  <si>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</si>
  <si>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</si>
  <si>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</si>
  <si>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</si>
  <si>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</si>
  <si>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</si>
  <si>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</si>
  <si>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</si>
  <si>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</si>
  <si>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</si>
  <si>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</si>
  <si>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</si>
  <si>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</si>
  <si>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</si>
  <si>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</si>
  <si>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</si>
  <si>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</si>
  <si>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</si>
  <si>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</si>
  <si>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</si>
  <si>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</si>
  <si>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</si>
  <si>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</si>
  <si>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</si>
  <si>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</si>
  <si>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</si>
  <si>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</si>
  <si>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</si>
  <si>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</si>
  <si>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</si>
  <si>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</si>
  <si>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</si>
  <si>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FONDATION UNIVERSITAIRE BOUEBDELLI</t>
  </si>
  <si>
    <t>TUNIS</t>
  </si>
  <si>
    <t>complément avis :</t>
  </si>
  <si>
    <t>EXPERTISE ASCENSEUR  1250KG EN ARRETS, 6/6, 2:1 CONTRÔLE ET RECEPTION APRES INSTALLATION DES PARTIES RENOVEE INSTALLEE A L'UNIVERSITE LIBRE DE TUNIS AVENUE LOUIS BRAILLE</t>
  </si>
  <si>
    <t>EXPERTISE ASCENSEUR  800KG EN ARRETS, 6/6, 2:1 CONTRÔLE ET RECEPTION APRES INSTALLATION DES PARTIES RENOVEE INSTALLEE A L'UNIVERSITE LIBRE DE TUNIS AVENUE LOUIS BRAILLE</t>
  </si>
  <si>
    <t xml:space="preserve">CONTRÔLE ET RECEPTION PARTIE ASCENSEUR 1250 KG
</t>
  </si>
  <si>
    <t xml:space="preserve">CONTRÔLE ET RECEPTION PARTIE ASCENSEUR 800 KG
</t>
  </si>
  <si>
    <t>1000,000</t>
  </si>
  <si>
    <t>550,000</t>
  </si>
  <si>
    <r>
      <t xml:space="preserve">     </t>
    </r>
    <r>
      <rPr>
        <b/>
        <i/>
        <sz val="11"/>
        <color theme="4" tint="-0.249977111117893"/>
        <rFont val="Arial"/>
        <family val="2"/>
      </rPr>
      <t>Arrêtée la présente facture à la somme de : CINQUE MILLE CINQUE CENT TRENTE QUATRE DINARS ET 500 MILLIMES</t>
    </r>
  </si>
  <si>
    <t>FACTURE 19/23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</si>
</sst>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4" fillId="0" borderId="0" xfId="0" applyFont="1" applyAlignment="1">
      <alignment wrapText="1" shrinkToFit="1"/>
    </xf>
    <xf numFmtId="166" fontId="10" fillId="0" borderId="3" xfId="0" applyNumberFormat="1" applyFont="1" applyFill="1" applyBorder="1" applyAlignment="1">
      <alignment horizontal="right" vertical="center"/>
    </xf>
    <xf numFmtId="166" fontId="10" fillId="2" borderId="3" xfId="0" applyNumberFormat="1" applyFont="1" applyFill="1" applyBorder="1" applyAlignment="1">
      <alignment horizontal="right" vertical="center"/>
    </xf>
    <xf numFmtId="9" fontId="10" fillId="0" borderId="3" xfId="0" applyNumberFormat="1" applyFont="1" applyBorder="1" applyAlignment="1">
      <alignment horizontal="right" vertical="center"/>
    </xf>
    <xf numFmtId="166" fontId="10" fillId="0" borderId="3" xfId="0" applyNumberFormat="1" applyFont="1" applyBorder="1" applyAlignment="1">
      <alignment horizontal="right" vertical="center"/>
    </xf>
    <xf numFmtId="166" fontId="10" fillId="3" borderId="4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49" fontId="24" fillId="0" borderId="0" xfId="0" applyNumberFormat="1" applyFont="1" applyAlignment="1">
      <alignment horizontal="left"/>
    </xf>
    <xf numFmtId="0" fontId="22" fillId="2" borderId="9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/>
    </xf>
    <xf numFmtId="49" fontId="10" fillId="0" borderId="5" xfId="0" applyNumberFormat="1" applyFont="1" applyFill="1" applyBorder="1" applyAlignment="1">
      <alignment horizontal="center" vertical="center"/>
    </xf>
    <xf numFmtId="166" fontId="10" fillId="0" borderId="1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0" fillId="0" borderId="5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34</xdr:row>
      <xdr:rowOff>123825</xdr:rowOff>
    </xdr:from>
    <xdr:to>
      <xdr:col>4</xdr:col>
      <xdr:colOff>504825</xdr:colOff>
      <xdr:row>42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42</xdr:row>
      <xdr:rowOff>152401</xdr:rowOff>
    </xdr:from>
    <xdr:to>
      <xdr:col>6</xdr:col>
      <xdr:colOff>1057275</xdr:colOff>
      <xdr:row>47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48"/>
  <sheetViews>
    <sheetView showGridLines="0" tabSelected="1" workbookViewId="0">
      <selection activeCell="G12" sqref="G12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5"/>
      <c r="D5" s="55"/>
      <c r="E5" s="55"/>
    </row>
    <row r="6" spans="1:6" ht="7.5" customHeight="1" x14ac:dyDescent="0.2">
      <c r="A6" s="35"/>
      <c r="B6" s="35"/>
      <c r="C6" s="55"/>
      <c r="D6" s="55"/>
      <c r="E6" s="55"/>
    </row>
    <row r="7" spans="1:6" x14ac:dyDescent="0.2">
      <c r="A7" s="35"/>
      <c r="B7" s="35"/>
      <c r="C7" s="55"/>
      <c r="D7" s="55"/>
      <c r="E7" s="55"/>
    </row>
    <row r="8" spans="1:6" s="1" customFormat="1" ht="57.75" customHeight="1" x14ac:dyDescent="0.2">
      <c r="A8" s="59" t="s">
        <v>69</v>
      </c>
      <c r="B8" s="59"/>
      <c r="C8" s="59"/>
      <c r="D8" s="59"/>
      <c r="E8" s="59"/>
      <c r="F8" s="59"/>
    </row>
    <row r="9" spans="1:6" ht="24.75" customHeight="1" x14ac:dyDescent="0.4">
      <c r="B9" s="2"/>
      <c r="C9" s="2"/>
      <c r="D9" s="2"/>
      <c r="E9" s="19" t="s">
        <v>9</v>
      </c>
      <c r="F9" s="9">
        <v>44986</v>
      </c>
    </row>
    <row r="10" spans="1:6" ht="15.75" x14ac:dyDescent="0.25">
      <c r="B10" s="3"/>
      <c r="E10" s="20"/>
      <c r="F10" s="10"/>
    </row>
    <row r="11" spans="1:6" ht="52.5" customHeight="1" x14ac:dyDescent="0.2">
      <c r="B11" s="3"/>
      <c r="E11" s="33" t="s">
        <v>8</v>
      </c>
      <c r="F11" s="43" t="s">
        <v>59</v>
      </c>
    </row>
    <row r="12" spans="1:6" ht="7.5" customHeight="1" x14ac:dyDescent="0.25">
      <c r="B12" s="3"/>
      <c r="E12" s="19"/>
      <c r="F12" s="12"/>
    </row>
    <row r="13" spans="1:6" ht="16.5" customHeight="1" x14ac:dyDescent="0.25">
      <c r="B13" s="3"/>
      <c r="E13" s="33" t="s">
        <v>7</v>
      </c>
      <c r="F13" s="17" t="s">
        <v>60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1:8" ht="15.75" x14ac:dyDescent="0.25">
      <c r="C17" s="5"/>
      <c r="D17" s="5"/>
      <c r="E17" s="19" t="s">
        <v>58</v>
      </c>
      <c r="F17" s="44"/>
    </row>
    <row r="18" spans="1:8" ht="12.75" customHeight="1" x14ac:dyDescent="0.25">
      <c r="B18" s="5"/>
      <c r="C18" s="5"/>
      <c r="D18" s="5"/>
      <c r="E18" s="19"/>
      <c r="F18" s="5"/>
    </row>
    <row r="19" spans="1:8" s="1" customFormat="1" ht="20.100000000000001" customHeight="1" x14ac:dyDescent="0.2">
      <c r="B19" s="60" t="s">
        <v>0</v>
      </c>
      <c r="C19" s="61"/>
      <c r="D19" s="45" t="s">
        <v>55</v>
      </c>
      <c r="E19" s="46" t="s">
        <v>53</v>
      </c>
      <c r="F19" s="47" t="s">
        <v>54</v>
      </c>
    </row>
    <row r="20" spans="1:8" s="1" customFormat="1" ht="80.25" customHeight="1" x14ac:dyDescent="0.2">
      <c r="B20" s="58" t="s">
        <v>62</v>
      </c>
      <c r="C20" s="58"/>
      <c r="D20" s="48">
        <v>2</v>
      </c>
      <c r="E20" s="49" t="s">
        <v>66</v>
      </c>
      <c r="F20" s="50">
        <v>2000</v>
      </c>
    </row>
    <row r="21" spans="1:8" s="1" customFormat="1" ht="72.75" customHeight="1" x14ac:dyDescent="0.2">
      <c r="B21" s="56" t="s">
        <v>63</v>
      </c>
      <c r="C21" s="57"/>
      <c r="D21" s="51">
        <v>1</v>
      </c>
      <c r="E21" s="52" t="s">
        <v>66</v>
      </c>
      <c r="F21" s="53">
        <v>1000</v>
      </c>
      <c r="H21" s="8"/>
    </row>
    <row r="22" spans="1:8" s="1" customFormat="1" ht="19.5" customHeight="1" x14ac:dyDescent="0.2">
      <c r="B22" s="58" t="s">
        <v>61</v>
      </c>
      <c r="C22" s="58"/>
      <c r="D22" s="54"/>
      <c r="E22" s="49"/>
      <c r="F22" s="50"/>
    </row>
    <row r="23" spans="1:8" s="1" customFormat="1" ht="45.75" customHeight="1" x14ac:dyDescent="0.2">
      <c r="B23" s="58" t="s">
        <v>64</v>
      </c>
      <c r="C23" s="58"/>
      <c r="D23" s="48">
        <v>2</v>
      </c>
      <c r="E23" s="49" t="s">
        <v>67</v>
      </c>
      <c r="F23" s="50">
        <v>1100</v>
      </c>
    </row>
    <row r="24" spans="1:8" s="1" customFormat="1" ht="45" customHeight="1" x14ac:dyDescent="0.2">
      <c r="B24" s="58" t="s">
        <v>65</v>
      </c>
      <c r="C24" s="58"/>
      <c r="D24" s="48">
        <v>1</v>
      </c>
      <c r="E24" s="49" t="s">
        <v>67</v>
      </c>
      <c r="F24" s="50">
        <v>550</v>
      </c>
    </row>
    <row r="25" spans="1:8" s="1" customFormat="1" ht="20.100000000000001" customHeight="1" x14ac:dyDescent="0.2">
      <c r="B25" s="7"/>
      <c r="C25" s="6"/>
      <c r="D25" s="6"/>
      <c r="E25" s="15" t="s">
        <v>5</v>
      </c>
      <c r="F25" s="38">
        <f>SUM(F20+F21+F23+F24)</f>
        <v>4650</v>
      </c>
    </row>
    <row r="26" spans="1:8" s="1" customFormat="1" ht="20.100000000000001" customHeight="1" x14ac:dyDescent="0.2">
      <c r="B26" s="7"/>
      <c r="C26" s="6"/>
      <c r="D26" s="6"/>
      <c r="E26" s="15" t="s">
        <v>1</v>
      </c>
      <c r="F26" s="39">
        <v>0.19</v>
      </c>
    </row>
    <row r="27" spans="1:8" s="1" customFormat="1" ht="20.100000000000001" customHeight="1" x14ac:dyDescent="0.2">
      <c r="B27" s="7"/>
      <c r="C27" s="6"/>
      <c r="D27" s="6"/>
      <c r="E27" s="15" t="s">
        <v>2</v>
      </c>
      <c r="F27" s="38">
        <f>SUM(F25*F26)</f>
        <v>883.5</v>
      </c>
    </row>
    <row r="28" spans="1:8" s="1" customFormat="1" ht="20.100000000000001" customHeight="1" x14ac:dyDescent="0.2">
      <c r="B28" s="7"/>
      <c r="C28" s="6"/>
      <c r="D28" s="6"/>
      <c r="E28" s="15" t="s">
        <v>3</v>
      </c>
      <c r="F28" s="40">
        <f>SUM(F25+F27)</f>
        <v>5533.5</v>
      </c>
    </row>
    <row r="29" spans="1:8" s="1" customFormat="1" ht="20.100000000000001" customHeight="1" x14ac:dyDescent="0.2">
      <c r="B29" s="6"/>
      <c r="C29" s="6"/>
      <c r="D29" s="6"/>
      <c r="E29" s="15" t="s">
        <v>4</v>
      </c>
      <c r="F29" s="37">
        <v>1</v>
      </c>
    </row>
    <row r="30" spans="1:8" s="1" customFormat="1" ht="20.100000000000001" customHeight="1" x14ac:dyDescent="0.2">
      <c r="B30"/>
      <c r="C30"/>
      <c r="D30"/>
      <c r="E30" s="15" t="s">
        <v>19</v>
      </c>
      <c r="F30" s="41">
        <f>SUM(F28+F29)</f>
        <v>5534.5</v>
      </c>
    </row>
    <row r="31" spans="1:8" s="1" customFormat="1" ht="20.100000000000001" customHeight="1" x14ac:dyDescent="0.2">
      <c r="B31"/>
      <c r="C31"/>
      <c r="D31"/>
      <c r="E31" s="15"/>
      <c r="F31" s="15"/>
    </row>
    <row r="32" spans="1:8" s="1" customFormat="1" ht="32.25" customHeight="1" x14ac:dyDescent="0.2">
      <c r="A32" s="16" t="s">
        <v>68</v>
      </c>
      <c r="B32" s="11"/>
      <c r="C32" s="11"/>
      <c r="D32" s="11"/>
      <c r="E32" s="36"/>
      <c r="F32" s="36"/>
    </row>
    <row r="38" spans="2:9" x14ac:dyDescent="0.2">
      <c r="I38" s="18"/>
    </row>
    <row r="45" spans="2:9" ht="21" customHeight="1" x14ac:dyDescent="0.3">
      <c r="B45" s="42" t="s">
        <v>56</v>
      </c>
      <c r="E45" s="14"/>
      <c r="F45" s="13"/>
    </row>
    <row r="46" spans="2:9" ht="21" customHeight="1" x14ac:dyDescent="0.3">
      <c r="B46" s="42" t="s">
        <v>57</v>
      </c>
      <c r="E46" s="14"/>
      <c r="F46" s="13"/>
    </row>
    <row r="47" spans="2:9" ht="21" customHeight="1" x14ac:dyDescent="0.2">
      <c r="E47" s="14"/>
      <c r="F47" s="13"/>
    </row>
    <row r="48" spans="2:9" ht="21" customHeight="1" x14ac:dyDescent="0.2">
      <c r="E48" s="14"/>
      <c r="F48" s="13"/>
    </row>
  </sheetData>
  <mergeCells count="8">
    <mergeCell ref="C5:E7"/>
    <mergeCell ref="B21:C21"/>
    <mergeCell ref="B23:C23"/>
    <mergeCell ref="B24:C24"/>
    <mergeCell ref="B22:C22"/>
    <mergeCell ref="B20:C20"/>
    <mergeCell ref="A8:F8"/>
    <mergeCell ref="B19:C19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2023-03-01T12:59:02Z</cp:lastPrinted>
  <dcterms:created xsi:type="dcterms:W3CDTF">2000-07-27T22:20:36Z</dcterms:created>
  <dcterms:modified xsi:type="dcterms:W3CDTF">2023-03-07T10:35:37Z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