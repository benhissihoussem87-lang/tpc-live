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ravail majdi\facture\2023\FACTURE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33" i="11" l="1"/>
  <c r="F21" i="11" l="1"/>
  <c r="G25" i="32"/>
  <c r="D29" i="32"/>
  <c r="F31" i="11" l="1"/>
  <c r="E2" i="32"/>
  <c r="H2" i="32" s="1"/>
  <c r="F34" i="11" l="1"/>
  <c r="F36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<sst xmlns="http://schemas.openxmlformats.org/spreadsheetml/2006/main" count="68" uniqueCount="66">
  <si>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</si>
  <si>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</si>
  <si>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</si>
  <si>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</si>
  <si>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</si>
  <si>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</si>
  <si>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</si>
  <si>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</si>
  <si>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</si>
  <si>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</si>
  <si>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</si>
  <si>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</si>
  <si>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</si>
  <si>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</si>
  <si>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</si>
  <si>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</si>
  <si>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</si>
  <si>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</si>
  <si>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</si>
  <si>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</si>
  <si>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</si>
  <si>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</si>
  <si>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</si>
  <si>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</si>
  <si>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</si>
  <si>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</si>
  <si>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</si>
  <si>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</si>
  <si>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</si>
  <si>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</si>
  <si>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</si>
  <si>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</si>
  <si>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</si>
  <si>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</si>
  <si>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</si>
  <si>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</si>
  <si>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</si>
  <si>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</si>
  <si>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</si>
  <si>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</si>
  <si>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</si>
  <si>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</si>
  <si>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</si>
  <si>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</si>
  <si>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</si>
  <si>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</si>
  <si>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</si>
  <si>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</si>
  <si>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</si>
  <si>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</si>
  <si>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</si>
  <si>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</si>
  <si>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</si>
  <si>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</si>
  <si>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</si>
  <si>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</si>
  <si>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</si>
  <si>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</si>
  <si>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</si>
  <si>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STE GTS COMPLEXE CULTURELLE</t>
  </si>
  <si>
    <t>CITE ETTAHRIR</t>
  </si>
  <si>
    <t>FACTURE 02/2023</t>
  </si>
  <si>
    <t>1213544/TAE/001</t>
  </si>
  <si>
    <t>Contrôle technique des installations GAZ</t>
  </si>
  <si>
    <t>500,000</t>
  </si>
  <si>
    <r>
      <t xml:space="preserve">                     </t>
    </r>
    <r>
      <rPr>
        <b/>
        <i/>
        <sz val="11"/>
        <color theme="4" tint="-0.249977111117893"/>
        <rFont val="Arial"/>
        <family val="2"/>
      </rPr>
      <t xml:space="preserve">Arrêtée la présente facture à la somme de : CINQUE CENT QUATRE VINGT SEIZE DINARS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</si>
</sst>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5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b/>
      <i/>
      <sz val="11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4"/>
  <sheetViews>
    <sheetView showGridLines="0" tabSelected="1" topLeftCell="A10" workbookViewId="0">
      <selection activeCell="G9" sqref="G9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3"/>
      <c r="D5" s="53"/>
      <c r="E5" s="53"/>
    </row>
    <row r="6" spans="1:6" ht="7.5" customHeight="1" x14ac:dyDescent="0.2">
      <c r="A6" s="35"/>
      <c r="B6" s="35"/>
      <c r="C6" s="53"/>
      <c r="D6" s="53"/>
      <c r="E6" s="53"/>
    </row>
    <row r="7" spans="1:6" x14ac:dyDescent="0.2">
      <c r="A7" s="35"/>
      <c r="B7" s="35"/>
      <c r="C7" s="53"/>
      <c r="D7" s="53"/>
      <c r="E7" s="53"/>
    </row>
    <row r="8" spans="1:6" s="1" customFormat="1" ht="57.75" customHeight="1" x14ac:dyDescent="0.2">
      <c r="A8" s="61" t="s">
        <v>61</v>
      </c>
      <c r="B8" s="61"/>
      <c r="C8" s="61"/>
      <c r="D8" s="61"/>
      <c r="E8" s="61"/>
      <c r="F8" s="61"/>
    </row>
    <row r="9" spans="1:6" ht="24.75" customHeight="1" x14ac:dyDescent="0.4">
      <c r="B9" s="2"/>
      <c r="C9" s="2"/>
      <c r="D9" s="2"/>
      <c r="E9" s="19" t="s">
        <v>9</v>
      </c>
      <c r="F9" s="9">
        <v>44953</v>
      </c>
    </row>
    <row r="10" spans="1:6" ht="15.75" x14ac:dyDescent="0.25">
      <c r="B10" s="3"/>
      <c r="E10" s="20"/>
      <c r="F10" s="10"/>
    </row>
    <row r="11" spans="1:6" ht="39.75" customHeight="1" x14ac:dyDescent="0.2">
      <c r="B11" s="3"/>
      <c r="E11" s="33" t="s">
        <v>8</v>
      </c>
      <c r="F11" s="51" t="s">
        <v>59</v>
      </c>
    </row>
    <row r="12" spans="1:6" ht="0.75" customHeight="1" x14ac:dyDescent="0.25">
      <c r="B12" s="3"/>
      <c r="E12" s="19"/>
      <c r="F12" s="12"/>
    </row>
    <row r="13" spans="1:6" ht="16.5" customHeight="1" x14ac:dyDescent="0.25">
      <c r="B13" s="3"/>
      <c r="E13" s="33" t="s">
        <v>7</v>
      </c>
      <c r="F13" s="17" t="s">
        <v>60</v>
      </c>
    </row>
    <row r="14" spans="1:6" ht="6.75" customHeight="1" x14ac:dyDescent="0.25">
      <c r="B14" s="3"/>
      <c r="E14" s="21"/>
      <c r="F14" s="17"/>
    </row>
    <row r="15" spans="1:6" ht="15.75" x14ac:dyDescent="0.25">
      <c r="B15" s="3"/>
      <c r="E15" s="19" t="s">
        <v>6</v>
      </c>
      <c r="F15" s="10" t="s">
        <v>62</v>
      </c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56</v>
      </c>
      <c r="F17" s="4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2" t="s">
        <v>0</v>
      </c>
      <c r="C19" s="63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8"/>
      <c r="C20" s="59"/>
      <c r="D20" s="52"/>
      <c r="E20" s="41"/>
      <c r="F20" s="44"/>
    </row>
    <row r="21" spans="2:8" s="1" customFormat="1" ht="21.75" customHeight="1" x14ac:dyDescent="0.2">
      <c r="B21" s="58" t="s">
        <v>63</v>
      </c>
      <c r="C21" s="59"/>
      <c r="D21" s="52">
        <v>1</v>
      </c>
      <c r="E21" s="41" t="s">
        <v>64</v>
      </c>
      <c r="F21" s="44">
        <f>SUM(D21*E21)</f>
        <v>500</v>
      </c>
    </row>
    <row r="22" spans="2:8" s="1" customFormat="1" ht="25.5" customHeight="1" x14ac:dyDescent="0.2">
      <c r="B22" s="58"/>
      <c r="C22" s="59"/>
      <c r="D22" s="52"/>
      <c r="E22" s="41"/>
      <c r="F22" s="44"/>
    </row>
    <row r="23" spans="2:8" s="1" customFormat="1" ht="28.5" customHeight="1" x14ac:dyDescent="0.2">
      <c r="B23" s="58"/>
      <c r="C23" s="59"/>
      <c r="D23" s="52"/>
      <c r="E23" s="41"/>
      <c r="F23" s="44"/>
      <c r="H23" s="8"/>
    </row>
    <row r="24" spans="2:8" s="1" customFormat="1" ht="35.25" customHeight="1" x14ac:dyDescent="0.2">
      <c r="B24" s="58"/>
      <c r="C24" s="59"/>
      <c r="D24" s="52"/>
      <c r="E24" s="41"/>
      <c r="F24" s="44"/>
    </row>
    <row r="25" spans="2:8" s="1" customFormat="1" ht="20.100000000000001" customHeight="1" x14ac:dyDescent="0.2">
      <c r="B25" s="60"/>
      <c r="C25" s="55"/>
      <c r="D25" s="36"/>
      <c r="E25" s="41"/>
      <c r="F25" s="44"/>
    </row>
    <row r="26" spans="2:8" s="1" customFormat="1" ht="20.100000000000001" customHeight="1" x14ac:dyDescent="0.2">
      <c r="B26" s="60"/>
      <c r="C26" s="55"/>
      <c r="D26" s="36"/>
      <c r="E26" s="41"/>
      <c r="F26" s="44"/>
    </row>
    <row r="27" spans="2:8" s="1" customFormat="1" ht="20.100000000000001" customHeight="1" x14ac:dyDescent="0.2">
      <c r="B27" s="60"/>
      <c r="C27" s="55"/>
      <c r="D27" s="36"/>
      <c r="E27" s="41"/>
      <c r="F27" s="44"/>
    </row>
    <row r="28" spans="2:8" s="1" customFormat="1" ht="20.100000000000001" customHeight="1" x14ac:dyDescent="0.2">
      <c r="B28" s="60"/>
      <c r="C28" s="55"/>
      <c r="D28" s="36"/>
      <c r="E28" s="41"/>
      <c r="F28" s="44"/>
    </row>
    <row r="29" spans="2:8" s="1" customFormat="1" ht="20.100000000000001" customHeight="1" x14ac:dyDescent="0.2">
      <c r="B29" s="54"/>
      <c r="C29" s="55"/>
      <c r="D29" s="36"/>
      <c r="E29" s="41"/>
      <c r="F29" s="44"/>
    </row>
    <row r="30" spans="2:8" s="1" customFormat="1" ht="20.100000000000001" customHeight="1" x14ac:dyDescent="0.2">
      <c r="B30" s="56"/>
      <c r="C30" s="57"/>
      <c r="D30" s="39"/>
      <c r="E30" s="42"/>
      <c r="F30" s="45"/>
    </row>
    <row r="31" spans="2:8" s="1" customFormat="1" ht="20.100000000000001" customHeight="1" x14ac:dyDescent="0.2">
      <c r="B31" s="7"/>
      <c r="C31" s="6"/>
      <c r="D31" s="6"/>
      <c r="E31" s="15" t="s">
        <v>5</v>
      </c>
      <c r="F31" s="46">
        <f>SUM(F20:F30)</f>
        <v>500</v>
      </c>
    </row>
    <row r="32" spans="2:8" s="1" customFormat="1" ht="20.100000000000001" customHeight="1" x14ac:dyDescent="0.2">
      <c r="B32" s="7"/>
      <c r="C32" s="6"/>
      <c r="D32" s="6"/>
      <c r="E32" s="15" t="s">
        <v>1</v>
      </c>
      <c r="F32" s="47">
        <v>0.19</v>
      </c>
    </row>
    <row r="33" spans="1:9" s="1" customFormat="1" ht="20.100000000000001" customHeight="1" x14ac:dyDescent="0.2">
      <c r="B33" s="7"/>
      <c r="C33" s="6"/>
      <c r="D33" s="6"/>
      <c r="E33" s="15" t="s">
        <v>2</v>
      </c>
      <c r="F33" s="46">
        <f>(F31*19)/100</f>
        <v>95</v>
      </c>
    </row>
    <row r="34" spans="1:9" s="1" customFormat="1" ht="20.100000000000001" customHeight="1" x14ac:dyDescent="0.2">
      <c r="B34" s="7"/>
      <c r="C34" s="6"/>
      <c r="D34" s="6"/>
      <c r="E34" s="15" t="s">
        <v>3</v>
      </c>
      <c r="F34" s="48">
        <f>F31+F33</f>
        <v>595</v>
      </c>
    </row>
    <row r="35" spans="1:9" s="1" customFormat="1" ht="20.100000000000001" customHeight="1" x14ac:dyDescent="0.2">
      <c r="B35" s="6"/>
      <c r="C35" s="6"/>
      <c r="D35" s="6"/>
      <c r="E35" s="15" t="s">
        <v>4</v>
      </c>
      <c r="F35" s="44">
        <v>1</v>
      </c>
    </row>
    <row r="36" spans="1:9" s="1" customFormat="1" ht="20.100000000000001" customHeight="1" x14ac:dyDescent="0.2">
      <c r="B36"/>
      <c r="C36"/>
      <c r="D36"/>
      <c r="E36" s="15" t="s">
        <v>19</v>
      </c>
      <c r="F36" s="49">
        <f>F34+F35</f>
        <v>596</v>
      </c>
    </row>
    <row r="37" spans="1:9" s="1" customFormat="1" ht="20.100000000000001" customHeight="1" x14ac:dyDescent="0.2">
      <c r="B37"/>
      <c r="C37"/>
      <c r="D37"/>
      <c r="E37" s="15"/>
      <c r="F37" s="15"/>
    </row>
    <row r="38" spans="1:9" s="1" customFormat="1" ht="32.25" customHeight="1" x14ac:dyDescent="0.2">
      <c r="A38" s="16" t="s">
        <v>65</v>
      </c>
      <c r="B38" s="11"/>
      <c r="C38" s="11"/>
      <c r="D38" s="11"/>
      <c r="E38" s="37"/>
      <c r="F38" s="37"/>
    </row>
    <row r="44" spans="1:9" x14ac:dyDescent="0.2">
      <c r="I44" s="18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3">
      <c r="B52" s="50" t="s">
        <v>58</v>
      </c>
      <c r="E52" s="14"/>
      <c r="F52" s="13"/>
    </row>
    <row r="53" spans="2:6" ht="21" customHeight="1" x14ac:dyDescent="0.2">
      <c r="E53" s="14"/>
      <c r="F53" s="13"/>
    </row>
    <row r="54" spans="2:6" ht="21" customHeight="1" x14ac:dyDescent="0.2">
      <c r="E54" s="14"/>
      <c r="F54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TPCTECHNIQUE</cp:lastModifiedBy>
  <cp:lastPrinted>2023-01-27T11:14:34Z</cp:lastPrinted>
  <dcterms:created xsi:type="dcterms:W3CDTF">2000-07-27T22:20:36Z</dcterms:created>
  <dcterms:modified xsi:type="dcterms:W3CDTF">2023-01-27T11:29:40Z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