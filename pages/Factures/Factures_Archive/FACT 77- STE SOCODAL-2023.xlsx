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/>
  </bookViews>
  <sheets>
    <sheet name="fac 13" sheetId="11" r:id="rId1"/>
    <sheet name="Feuil1" sheetId="33" r:id="rId2"/>
  </sheets>
  <calcPr calcId="124519"/>
</workbook>
</file>

<file path=xl/calcChain.xml><?xml version="1.0" encoding="utf-8"?>
<calcChain xmlns="http://schemas.openxmlformats.org/spreadsheetml/2006/main">
  <c r="F34" i="11"/>
  <c r="F33"/>
  <c r="F25"/>
  <c r="F24"/>
  <c r="F23"/>
  <c r="F22"/>
  <c r="F31" l="1"/>
  <c r="F36" l="1"/>
</calcChain>
</file>

<file path=xl/sharedStrings.xml><?xml version="1.0" encoding="utf-8"?>
<sst xmlns="http://schemas.openxmlformats.org/spreadsheetml/2006/main" count="31" uniqueCount="30">
  <si>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</si>
  <si>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</si>
  <si>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</si>
  <si>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</si>
  <si>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</si>
  <si>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</si>
  <si>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</si>
  <si>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</si>
  <si>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</si>
  <si>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</si>
  <si>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TOTAL NOTE D'HONORAIRES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</si>
  <si>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</si>
  <si>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</si>
  <si>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</si>
  <si>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</si>
  <si>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</si>
  <si>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</si>
  <si>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500,000</t>
  </si>
  <si>
    <t>STE SOCODAL</t>
  </si>
  <si>
    <t>DAR ALLOUCH KELIBIA</t>
  </si>
  <si>
    <t>contrôle technique :</t>
  </si>
  <si>
    <t>*Installation électrique</t>
  </si>
  <si>
    <t>* Installation GAZ</t>
  </si>
  <si>
    <t>* Installation Chaudière à vapeur</t>
  </si>
  <si>
    <t>700,000</t>
  </si>
  <si>
    <t>200,000</t>
  </si>
  <si>
    <t>* Sécurité incendie (RIA ET détection automatique d'incendie)</t>
  </si>
  <si>
    <t>EXERCIE 2022</t>
  </si>
  <si>
    <t>FACTURE N°77/2023</t>
  </si>
  <si>
    <t xml:space="preserve">                          Arrêtée la présente facture à la somme de : QUATRE MILLE CENT QUATRE CENT QUATRE DINARS,</t>
  </si>
</sst>
</file>

<file path=xl/styles.xml><?xml version="1.0" encoding="utf-8"?>
<styleSheet xmlns="http://schemas.openxmlformats.org/spreadsheetml/2006/main">
  <numFmts count="4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</numFmts>
  <fonts count="20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</fills>
  <borders count="16">
    <border>
      <left/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1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top"/>
    </xf>
    <xf numFmtId="0" fontId="16" fillId="0" borderId="0" xfId="0" applyFont="1" applyFill="1" applyBorder="1" applyAlignment="1">
      <alignment vertical="center"/>
    </xf>
    <xf numFmtId="0" fontId="10" fillId="0" borderId="2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17" fillId="2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49" fontId="10" fillId="0" borderId="6" xfId="0" applyNumberFormat="1" applyFont="1" applyFill="1" applyBorder="1" applyAlignment="1">
      <alignment horizontal="center" vertical="center"/>
    </xf>
    <xf numFmtId="49" fontId="10" fillId="0" borderId="7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166" fontId="10" fillId="0" borderId="9" xfId="0" applyNumberFormat="1" applyFont="1" applyFill="1" applyBorder="1" applyAlignment="1">
      <alignment horizontal="right" vertical="center"/>
    </xf>
    <xf numFmtId="166" fontId="10" fillId="0" borderId="10" xfId="0" applyNumberFormat="1" applyFont="1" applyFill="1" applyBorder="1" applyAlignment="1">
      <alignment horizontal="right" vertical="center"/>
    </xf>
    <xf numFmtId="166" fontId="10" fillId="2" borderId="9" xfId="0" applyNumberFormat="1" applyFont="1" applyFill="1" applyBorder="1" applyAlignment="1">
      <alignment horizontal="right" vertical="center"/>
    </xf>
    <xf numFmtId="9" fontId="10" fillId="0" borderId="9" xfId="0" applyNumberFormat="1" applyFont="1" applyBorder="1" applyAlignment="1">
      <alignment horizontal="right" vertical="center"/>
    </xf>
    <xf numFmtId="166" fontId="10" fillId="0" borderId="9" xfId="0" applyNumberFormat="1" applyFont="1" applyBorder="1" applyAlignment="1">
      <alignment horizontal="right" vertical="center"/>
    </xf>
    <xf numFmtId="166" fontId="10" fillId="3" borderId="10" xfId="0" applyNumberFormat="1" applyFont="1" applyFill="1" applyBorder="1" applyAlignment="1">
      <alignment horizontal="right" vertical="center"/>
    </xf>
    <xf numFmtId="0" fontId="18" fillId="0" borderId="0" xfId="0" applyFont="1"/>
    <xf numFmtId="0" fontId="8" fillId="0" borderId="0" xfId="0" applyFont="1" applyAlignment="1">
      <alignment horizontal="left" vertical="top" wrapText="1"/>
    </xf>
    <xf numFmtId="0" fontId="10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3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left" vertical="center" wrapText="1"/>
    </xf>
  </cellXfs>
  <cellStyles count="3">
    <cellStyle name="Milliers 2" xfId="2"/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42</xdr:row>
      <xdr:rowOff>123825</xdr:rowOff>
    </xdr:from>
    <xdr:to>
      <xdr:col>4</xdr:col>
      <xdr:colOff>504825</xdr:colOff>
      <xdr:row>50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51</xdr:row>
      <xdr:rowOff>152401</xdr:rowOff>
    </xdr:from>
    <xdr:to>
      <xdr:col>6</xdr:col>
      <xdr:colOff>1057275</xdr:colOff>
      <xdr:row>56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3283" cy="111442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7"/>
  <sheetViews>
    <sheetView showGridLines="0" tabSelected="1" zoomScale="90" zoomScaleNormal="90" workbookViewId="0">
      <selection activeCell="G28" sqref="G28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8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23"/>
      <c r="B3" s="23"/>
    </row>
    <row r="4" spans="1:6">
      <c r="A4" s="23"/>
      <c r="B4" s="23"/>
    </row>
    <row r="5" spans="1:6">
      <c r="A5" s="23"/>
      <c r="B5" s="23"/>
      <c r="C5" s="41"/>
      <c r="D5" s="41"/>
      <c r="E5" s="41"/>
    </row>
    <row r="6" spans="1:6" ht="7.5" customHeight="1">
      <c r="A6" s="23"/>
      <c r="B6" s="23"/>
      <c r="C6" s="41"/>
      <c r="D6" s="41"/>
      <c r="E6" s="41"/>
    </row>
    <row r="7" spans="1:6">
      <c r="A7" s="23"/>
      <c r="B7" s="23"/>
      <c r="C7" s="41"/>
      <c r="D7" s="41"/>
      <c r="E7" s="41"/>
    </row>
    <row r="8" spans="1:6" s="1" customFormat="1" ht="57.75" customHeight="1">
      <c r="A8" s="51" t="s">
        <v>28</v>
      </c>
      <c r="B8" s="51"/>
      <c r="C8" s="51"/>
      <c r="D8" s="51"/>
      <c r="E8" s="51"/>
      <c r="F8" s="51"/>
    </row>
    <row r="9" spans="1:6" ht="24.75" customHeight="1">
      <c r="B9" s="2"/>
      <c r="C9" s="2"/>
      <c r="D9" s="2"/>
      <c r="E9" s="19" t="s">
        <v>9</v>
      </c>
      <c r="F9" s="9">
        <v>45092</v>
      </c>
    </row>
    <row r="10" spans="1:6" ht="15.75">
      <c r="B10" s="3"/>
      <c r="E10" s="20"/>
      <c r="F10" s="10"/>
    </row>
    <row r="11" spans="1:6" ht="29.25" customHeight="1">
      <c r="B11" s="3"/>
      <c r="E11" s="22" t="s">
        <v>8</v>
      </c>
      <c r="F11" s="39" t="s">
        <v>18</v>
      </c>
    </row>
    <row r="12" spans="1:6" ht="9.75" customHeight="1">
      <c r="B12" s="3"/>
      <c r="E12" s="19"/>
      <c r="F12" s="12"/>
    </row>
    <row r="13" spans="1:6" ht="31.5">
      <c r="B13" s="3"/>
      <c r="E13" s="22" t="s">
        <v>7</v>
      </c>
      <c r="F13" s="17" t="s">
        <v>19</v>
      </c>
    </row>
    <row r="14" spans="1:6" ht="6.75" customHeight="1">
      <c r="B14" s="3"/>
      <c r="E14" s="21"/>
      <c r="F14" s="17"/>
    </row>
    <row r="15" spans="1:6" ht="15.75">
      <c r="B15" s="3"/>
      <c r="E15" s="19" t="s">
        <v>6</v>
      </c>
      <c r="F15" s="10"/>
    </row>
    <row r="16" spans="1:6">
      <c r="E16" s="5"/>
      <c r="F16" s="4"/>
    </row>
    <row r="17" spans="2:8" ht="15.75">
      <c r="C17" s="5"/>
      <c r="D17" s="5"/>
      <c r="E17" s="19" t="s">
        <v>14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52" t="s">
        <v>0</v>
      </c>
      <c r="C19" s="53"/>
      <c r="D19" s="26" t="s">
        <v>13</v>
      </c>
      <c r="E19" s="28" t="s">
        <v>11</v>
      </c>
      <c r="F19" s="31" t="s">
        <v>12</v>
      </c>
    </row>
    <row r="20" spans="2:8" s="1" customFormat="1" ht="24" customHeight="1">
      <c r="B20" s="54" t="s">
        <v>27</v>
      </c>
      <c r="C20" s="47"/>
      <c r="D20" s="40"/>
      <c r="E20" s="29"/>
      <c r="F20" s="32"/>
    </row>
    <row r="21" spans="2:8" s="1" customFormat="1" ht="31.5" customHeight="1">
      <c r="B21" s="46" t="s">
        <v>20</v>
      </c>
      <c r="C21" s="50"/>
      <c r="D21" s="40"/>
      <c r="E21" s="29"/>
      <c r="F21" s="32"/>
    </row>
    <row r="22" spans="2:8" s="1" customFormat="1" ht="31.5" customHeight="1">
      <c r="B22" s="46" t="s">
        <v>21</v>
      </c>
      <c r="C22" s="50"/>
      <c r="D22" s="40">
        <v>1</v>
      </c>
      <c r="E22" s="29" t="s">
        <v>24</v>
      </c>
      <c r="F22" s="32">
        <f>SUM(D22*E22)</f>
        <v>700</v>
      </c>
    </row>
    <row r="23" spans="2:8" s="1" customFormat="1" ht="36" customHeight="1">
      <c r="B23" s="46" t="s">
        <v>22</v>
      </c>
      <c r="C23" s="47"/>
      <c r="D23" s="40">
        <v>1</v>
      </c>
      <c r="E23" s="29" t="s">
        <v>17</v>
      </c>
      <c r="F23" s="32">
        <f>SUM(D23*E23)</f>
        <v>500</v>
      </c>
      <c r="H23" s="8"/>
    </row>
    <row r="24" spans="2:8" s="1" customFormat="1" ht="36" customHeight="1">
      <c r="B24" s="46" t="s">
        <v>23</v>
      </c>
      <c r="C24" s="47"/>
      <c r="D24" s="40">
        <v>9</v>
      </c>
      <c r="E24" s="29" t="s">
        <v>25</v>
      </c>
      <c r="F24" s="32">
        <f>SUM(D24*E24)</f>
        <v>1800</v>
      </c>
      <c r="H24" s="8"/>
    </row>
    <row r="25" spans="2:8" s="1" customFormat="1" ht="36" customHeight="1">
      <c r="B25" s="46" t="s">
        <v>26</v>
      </c>
      <c r="C25" s="47"/>
      <c r="D25" s="40">
        <v>1</v>
      </c>
      <c r="E25" s="29" t="s">
        <v>24</v>
      </c>
      <c r="F25" s="32">
        <f>SUM(D25*E25)</f>
        <v>700</v>
      </c>
      <c r="H25" s="8"/>
    </row>
    <row r="26" spans="2:8" s="1" customFormat="1" ht="20.100000000000001" customHeight="1">
      <c r="B26" s="48"/>
      <c r="C26" s="49"/>
      <c r="D26" s="24"/>
      <c r="E26" s="29"/>
      <c r="F26" s="32"/>
    </row>
    <row r="27" spans="2:8" s="1" customFormat="1" ht="20.100000000000001" customHeight="1">
      <c r="B27" s="48"/>
      <c r="C27" s="49"/>
      <c r="D27" s="24"/>
      <c r="E27" s="29"/>
      <c r="F27" s="32"/>
    </row>
    <row r="28" spans="2:8" s="1" customFormat="1" ht="20.100000000000001" customHeight="1">
      <c r="B28" s="48"/>
      <c r="C28" s="49"/>
      <c r="D28" s="24"/>
      <c r="E28" s="29"/>
      <c r="F28" s="32"/>
    </row>
    <row r="29" spans="2:8" s="1" customFormat="1" ht="20.100000000000001" customHeight="1">
      <c r="B29" s="42"/>
      <c r="C29" s="43"/>
      <c r="D29" s="24"/>
      <c r="E29" s="29"/>
      <c r="F29" s="32"/>
    </row>
    <row r="30" spans="2:8" s="1" customFormat="1" ht="20.100000000000001" customHeight="1">
      <c r="B30" s="44"/>
      <c r="C30" s="45"/>
      <c r="D30" s="27"/>
      <c r="E30" s="30"/>
      <c r="F30" s="33"/>
    </row>
    <row r="31" spans="2:8" s="1" customFormat="1" ht="20.100000000000001" customHeight="1">
      <c r="B31" s="7"/>
      <c r="C31" s="6"/>
      <c r="D31" s="6"/>
      <c r="E31" s="15" t="s">
        <v>5</v>
      </c>
      <c r="F31" s="34">
        <f>SUM(F20:F30)</f>
        <v>3700</v>
      </c>
    </row>
    <row r="32" spans="2:8" s="1" customFormat="1" ht="20.100000000000001" customHeight="1">
      <c r="B32" s="7"/>
      <c r="C32" s="6"/>
      <c r="D32" s="6"/>
      <c r="E32" s="15" t="s">
        <v>1</v>
      </c>
      <c r="F32" s="35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34">
        <f>+F31*F32</f>
        <v>703</v>
      </c>
    </row>
    <row r="34" spans="1:9" s="1" customFormat="1" ht="20.100000000000001" customHeight="1">
      <c r="B34" s="7"/>
      <c r="C34" s="6"/>
      <c r="D34" s="6"/>
      <c r="E34" s="15" t="s">
        <v>3</v>
      </c>
      <c r="F34" s="36">
        <f>+F31+F33</f>
        <v>4403</v>
      </c>
    </row>
    <row r="35" spans="1:9" s="1" customFormat="1" ht="20.100000000000001" customHeight="1">
      <c r="B35" s="6"/>
      <c r="C35" s="6"/>
      <c r="D35" s="6"/>
      <c r="E35" s="15" t="s">
        <v>4</v>
      </c>
      <c r="F35" s="32">
        <v>1</v>
      </c>
    </row>
    <row r="36" spans="1:9" s="1" customFormat="1" ht="20.100000000000001" customHeight="1">
      <c r="B36"/>
      <c r="C36"/>
      <c r="D36"/>
      <c r="E36" s="15" t="s">
        <v>10</v>
      </c>
      <c r="F36" s="37">
        <f>F34+F35</f>
        <v>4404</v>
      </c>
    </row>
    <row r="40" spans="1:9" s="1" customFormat="1" ht="32.25" customHeight="1">
      <c r="A40" s="16" t="s">
        <v>29</v>
      </c>
      <c r="B40" s="11"/>
      <c r="C40" s="11"/>
      <c r="D40" s="11"/>
      <c r="E40" s="25"/>
      <c r="F40" s="15"/>
    </row>
    <row r="41" spans="1:9" ht="14.25">
      <c r="F41" s="25"/>
    </row>
    <row r="46" spans="1:9">
      <c r="I46" s="18"/>
    </row>
    <row r="53" spans="2:6" ht="21" customHeight="1">
      <c r="B53" s="38" t="s">
        <v>15</v>
      </c>
      <c r="E53" s="14"/>
    </row>
    <row r="54" spans="2:6" ht="21" customHeight="1">
      <c r="B54" s="38" t="s">
        <v>16</v>
      </c>
      <c r="E54" s="14"/>
      <c r="F54" s="13"/>
    </row>
    <row r="55" spans="2:6" ht="21" customHeight="1">
      <c r="E55" s="14"/>
      <c r="F55" s="13"/>
    </row>
    <row r="56" spans="2:6" ht="21" customHeight="1">
      <c r="E56" s="14"/>
      <c r="F56" s="13"/>
    </row>
    <row r="57" spans="2:6">
      <c r="F57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2023-06-15T09:54:43Z</cp:lastPrinted>
  <dcterms:created xsi:type="dcterms:W3CDTF">2000-07-27T22:20:36Z</dcterms:created>
  <dcterms:modified xsi:type="dcterms:W3CDTF">2023-06-15T09:54:48Z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