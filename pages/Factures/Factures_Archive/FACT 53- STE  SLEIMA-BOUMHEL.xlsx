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ADMINISTRA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G25" i="32"/>
  <c r="D29" i="32"/>
  <c r="F31" i="11" l="1"/>
  <c r="F33" i="11" s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<sst xmlns="http://schemas.openxmlformats.org/spreadsheetml/2006/main" count="68" uniqueCount="66">
  <si>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</si>
  <si>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</si>
  <si>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</si>
  <si>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</si>
  <si>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</si>
  <si>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</si>
  <si>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</si>
  <si>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</si>
  <si>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</si>
  <si>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</si>
  <si>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</si>
  <si>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</si>
  <si>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</si>
  <si>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</si>
  <si>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</si>
  <si>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</si>
  <si>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</si>
  <si>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</si>
  <si>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</si>
  <si>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</si>
  <si>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</si>
  <si>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</si>
  <si>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</si>
  <si>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</si>
  <si>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</si>
  <si>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</si>
  <si>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</si>
  <si>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</si>
  <si>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</si>
  <si>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</si>
  <si>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</si>
  <si>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</si>
  <si>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</si>
  <si>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</si>
  <si>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</si>
  <si>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</si>
  <si>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</si>
  <si>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</si>
  <si>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</si>
  <si>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</si>
  <si>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</si>
  <si>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</si>
  <si>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</si>
  <si>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</si>
  <si>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</si>
  <si>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</si>
  <si>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</si>
  <si>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</si>
  <si>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</si>
  <si>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</si>
  <si>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</si>
  <si>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</si>
  <si>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</si>
  <si>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</si>
  <si>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</si>
  <si>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</si>
  <si>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</si>
  <si>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</si>
  <si>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</si>
  <si>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règlementaire des appareils de levage détaillés comme suit :</t>
  </si>
  <si>
    <t>FACTURE 53/2023</t>
  </si>
  <si>
    <t>STE SLEIMA</t>
  </si>
  <si>
    <t>RUE MED ENNAJAR -BOUMHEL</t>
  </si>
  <si>
    <t>GRUE MARINE</t>
  </si>
  <si>
    <t>1200,000</t>
  </si>
  <si>
    <t xml:space="preserve">                          Arrêtée la présente facture à la somme de : QUATRE MILLE DEUX CENT QUATRE VINGT CINQ DINARS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</si>
</sst>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left" vertical="center" wrapText="1"/>
    </xf>
    <xf numFmtId="0" fontId="24" fillId="0" borderId="18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C9" sqref="C9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5"/>
      <c r="D5" s="55"/>
      <c r="E5" s="55"/>
    </row>
    <row r="6" spans="1:6" ht="7.5" customHeight="1" x14ac:dyDescent="0.2">
      <c r="A6" s="35"/>
      <c r="B6" s="35"/>
      <c r="C6" s="55"/>
      <c r="D6" s="55"/>
      <c r="E6" s="55"/>
    </row>
    <row r="7" spans="1:6" x14ac:dyDescent="0.2">
      <c r="A7" s="35"/>
      <c r="B7" s="35"/>
      <c r="C7" s="55"/>
      <c r="D7" s="55"/>
      <c r="E7" s="55"/>
    </row>
    <row r="8" spans="1:6" s="1" customFormat="1" ht="57.75" customHeight="1" x14ac:dyDescent="0.2">
      <c r="A8" s="63" t="s">
        <v>60</v>
      </c>
      <c r="B8" s="63"/>
      <c r="C8" s="63"/>
      <c r="D8" s="63"/>
      <c r="E8" s="63"/>
      <c r="F8" s="63"/>
    </row>
    <row r="9" spans="1:6" ht="24.75" customHeight="1" x14ac:dyDescent="0.4">
      <c r="B9" s="2"/>
      <c r="C9" s="2"/>
      <c r="D9" s="2"/>
      <c r="E9" s="19" t="s">
        <v>9</v>
      </c>
      <c r="F9" s="9">
        <v>45069</v>
      </c>
    </row>
    <row r="10" spans="1:6" ht="15.75" x14ac:dyDescent="0.25">
      <c r="B10" s="3"/>
      <c r="E10" s="20"/>
      <c r="F10" s="10"/>
    </row>
    <row r="11" spans="1:6" ht="23.25" customHeight="1" x14ac:dyDescent="0.2">
      <c r="B11" s="3"/>
      <c r="E11" s="33" t="s">
        <v>8</v>
      </c>
      <c r="F11" s="51" t="s">
        <v>61</v>
      </c>
    </row>
    <row r="12" spans="1:6" ht="9.75" customHeight="1" x14ac:dyDescent="0.25">
      <c r="B12" s="3"/>
      <c r="E12" s="19"/>
      <c r="F12" s="12"/>
    </row>
    <row r="13" spans="1:6" ht="31.5" x14ac:dyDescent="0.25">
      <c r="B13" s="3"/>
      <c r="E13" s="33" t="s">
        <v>7</v>
      </c>
      <c r="F13" s="17" t="s">
        <v>62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4" t="s">
        <v>0</v>
      </c>
      <c r="C19" s="65"/>
      <c r="D19" s="38" t="s">
        <v>55</v>
      </c>
      <c r="E19" s="40" t="s">
        <v>53</v>
      </c>
      <c r="F19" s="43" t="s">
        <v>54</v>
      </c>
    </row>
    <row r="20" spans="2:8" s="1" customFormat="1" ht="31.5" customHeight="1" x14ac:dyDescent="0.2">
      <c r="B20" s="66" t="s">
        <v>59</v>
      </c>
      <c r="C20" s="67"/>
      <c r="D20" s="36"/>
      <c r="E20" s="41"/>
      <c r="F20" s="44"/>
    </row>
    <row r="21" spans="2:8" s="1" customFormat="1" ht="30" customHeight="1" x14ac:dyDescent="0.2">
      <c r="B21" s="54" t="s">
        <v>63</v>
      </c>
      <c r="C21" s="53"/>
      <c r="D21" s="52">
        <v>3</v>
      </c>
      <c r="E21" s="41" t="s">
        <v>64</v>
      </c>
      <c r="F21" s="44">
        <f>SUM(D21*E21)</f>
        <v>3600</v>
      </c>
    </row>
    <row r="22" spans="2:8" s="1" customFormat="1" ht="32.25" customHeight="1" x14ac:dyDescent="0.2">
      <c r="B22" s="60"/>
      <c r="C22" s="61"/>
      <c r="D22" s="52"/>
      <c r="E22" s="41"/>
      <c r="F22" s="44"/>
    </row>
    <row r="23" spans="2:8" s="1" customFormat="1" ht="19.5" customHeight="1" x14ac:dyDescent="0.2">
      <c r="B23" s="60"/>
      <c r="C23" s="61"/>
      <c r="D23" s="36"/>
      <c r="E23" s="41"/>
      <c r="F23" s="44"/>
      <c r="H23" s="8"/>
    </row>
    <row r="24" spans="2:8" s="1" customFormat="1" ht="19.5" customHeight="1" x14ac:dyDescent="0.2">
      <c r="B24" s="60"/>
      <c r="C24" s="61"/>
      <c r="D24" s="36"/>
      <c r="E24" s="41"/>
      <c r="F24" s="44"/>
    </row>
    <row r="25" spans="2:8" s="1" customFormat="1" ht="20.100000000000001" customHeight="1" x14ac:dyDescent="0.2">
      <c r="B25" s="62"/>
      <c r="C25" s="57"/>
      <c r="D25" s="36"/>
      <c r="E25" s="41"/>
      <c r="F25" s="44"/>
    </row>
    <row r="26" spans="2:8" s="1" customFormat="1" ht="20.100000000000001" customHeight="1" x14ac:dyDescent="0.2">
      <c r="B26" s="62"/>
      <c r="C26" s="57"/>
      <c r="D26" s="36"/>
      <c r="E26" s="41"/>
      <c r="F26" s="44"/>
    </row>
    <row r="27" spans="2:8" s="1" customFormat="1" ht="20.100000000000001" customHeight="1" x14ac:dyDescent="0.2">
      <c r="B27" s="62"/>
      <c r="C27" s="57"/>
      <c r="D27" s="36"/>
      <c r="E27" s="41"/>
      <c r="F27" s="44"/>
    </row>
    <row r="28" spans="2:8" s="1" customFormat="1" ht="20.100000000000001" customHeight="1" x14ac:dyDescent="0.2">
      <c r="B28" s="62"/>
      <c r="C28" s="57"/>
      <c r="D28" s="36"/>
      <c r="E28" s="41"/>
      <c r="F28" s="44"/>
    </row>
    <row r="29" spans="2:8" s="1" customFormat="1" ht="20.100000000000001" customHeight="1" x14ac:dyDescent="0.2">
      <c r="B29" s="56"/>
      <c r="C29" s="57"/>
      <c r="D29" s="36"/>
      <c r="E29" s="41"/>
      <c r="F29" s="44"/>
    </row>
    <row r="30" spans="2:8" s="1" customFormat="1" ht="20.100000000000001" customHeight="1" x14ac:dyDescent="0.2">
      <c r="B30" s="58"/>
      <c r="C30" s="59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3600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684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4284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4285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65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3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2023-05-23T15:57:03Z</cp:lastPrinted>
  <dcterms:created xsi:type="dcterms:W3CDTF">2000-07-27T22:20:36Z</dcterms:created>
  <dcterms:modified xsi:type="dcterms:W3CDTF">2023-05-23T15:57:39Z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