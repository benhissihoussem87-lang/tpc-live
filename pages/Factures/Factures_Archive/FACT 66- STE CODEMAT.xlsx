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/>
  <c r="G25" i="32"/>
  <c r="D29" i="32"/>
  <c r="F31" i="11" l="1"/>
  <c r="E2" i="32"/>
  <c r="H2" i="32" s="1"/>
  <c r="F33" i="11" l="1"/>
  <c r="F34" i="11" s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<sst xmlns="http://schemas.openxmlformats.org/spreadsheetml/2006/main" count="69" uniqueCount="67">
  <si>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</si>
  <si>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</si>
  <si>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</si>
  <si>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</si>
  <si>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</si>
  <si>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</si>
  <si>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</si>
  <si>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</si>
  <si>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</si>
  <si>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</si>
  <si>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</si>
  <si>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</si>
  <si>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</si>
  <si>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</si>
  <si>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</si>
  <si>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</si>
  <si>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</si>
  <si>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</si>
  <si>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</si>
  <si>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</si>
  <si>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</si>
  <si>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</si>
  <si>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</si>
  <si>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</si>
  <si>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</si>
  <si>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</si>
  <si>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</si>
  <si>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</si>
  <si>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</si>
  <si>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</si>
  <si>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</si>
  <si>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</si>
  <si>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</si>
  <si>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</si>
  <si>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</si>
  <si>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</si>
  <si>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</si>
  <si>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</si>
  <si>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</si>
  <si>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</si>
  <si>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</si>
  <si>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</si>
  <si>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</si>
  <si>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</si>
  <si>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</si>
  <si>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</si>
  <si>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</si>
  <si>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</si>
  <si>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</si>
  <si>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</si>
  <si>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</si>
  <si>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</si>
  <si>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</si>
  <si>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</si>
  <si>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</si>
  <si>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</si>
  <si>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</si>
  <si>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</si>
  <si>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Bon de commande NO:</t>
  </si>
  <si>
    <t>STE CODEMAT</t>
  </si>
  <si>
    <t>10,000</t>
  </si>
  <si>
    <t>avenue de carthage-tunis</t>
  </si>
  <si>
    <t>90,000</t>
  </si>
  <si>
    <t>1-CONTRÔLE REGLEMENTAIRE DES CHARIOTS ELEVATEURS 3000 KG</t>
  </si>
  <si>
    <t>FACTURE 66/2023</t>
  </si>
  <si>
    <t>2-CONTRÔLE REGLEMENTAIRE DES TRANSPALETTES MANUELS</t>
  </si>
  <si>
    <t xml:space="preserve">                          Arrêtée la présente facture à la somme de : Trois Milles deux cent quatorze dianrs et 000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</si>
</sst>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4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9</v>
      </c>
      <c r="B1" s="24" t="s">
        <v>10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  <c r="H1" s="23" t="s">
        <v>19</v>
      </c>
    </row>
    <row r="2" spans="1:8" ht="13.5" x14ac:dyDescent="0.25">
      <c r="A2" s="34" t="s">
        <v>21</v>
      </c>
      <c r="B2" s="32">
        <v>43838</v>
      </c>
      <c r="C2" s="31" t="s">
        <v>20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22</v>
      </c>
      <c r="B3" s="32">
        <v>43847</v>
      </c>
      <c r="C3" s="31" t="s">
        <v>23</v>
      </c>
      <c r="D3" s="30"/>
      <c r="E3" s="30"/>
      <c r="F3" s="30"/>
      <c r="G3" s="30"/>
      <c r="H3" s="30"/>
    </row>
    <row r="4" spans="1:8" ht="13.5" x14ac:dyDescent="0.25">
      <c r="A4" s="34" t="s">
        <v>24</v>
      </c>
      <c r="B4" s="32">
        <v>43853</v>
      </c>
      <c r="C4" s="31" t="s">
        <v>25</v>
      </c>
      <c r="D4" s="30"/>
      <c r="E4" s="30"/>
      <c r="F4" s="30"/>
      <c r="G4" s="30"/>
      <c r="H4" s="30"/>
    </row>
    <row r="5" spans="1:8" ht="13.5" x14ac:dyDescent="0.25">
      <c r="A5" s="34" t="s">
        <v>26</v>
      </c>
      <c r="B5" s="32">
        <v>43859</v>
      </c>
      <c r="C5" s="31" t="s">
        <v>27</v>
      </c>
      <c r="D5" s="30"/>
      <c r="E5" s="30"/>
      <c r="F5" s="30"/>
      <c r="G5" s="30"/>
      <c r="H5" s="30"/>
    </row>
    <row r="6" spans="1:8" ht="13.5" hidden="1" x14ac:dyDescent="0.25">
      <c r="A6" s="34" t="s">
        <v>28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28</v>
      </c>
      <c r="B7" s="32">
        <v>43860</v>
      </c>
      <c r="C7" s="31" t="s">
        <v>46</v>
      </c>
      <c r="D7" s="30"/>
      <c r="E7" s="30"/>
      <c r="F7" s="30"/>
      <c r="G7" s="30"/>
      <c r="H7" s="30"/>
    </row>
    <row r="8" spans="1:8" ht="13.5" x14ac:dyDescent="0.25">
      <c r="A8" s="34" t="s">
        <v>29</v>
      </c>
      <c r="B8" s="32">
        <v>43871</v>
      </c>
      <c r="C8" s="31" t="s">
        <v>46</v>
      </c>
      <c r="D8" s="30"/>
      <c r="E8" s="30"/>
      <c r="F8" s="30"/>
      <c r="G8" s="30"/>
      <c r="H8" s="30"/>
    </row>
    <row r="9" spans="1:8" ht="13.5" hidden="1" x14ac:dyDescent="0.25">
      <c r="A9" s="34" t="s">
        <v>30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31</v>
      </c>
      <c r="B10" s="32">
        <v>43872</v>
      </c>
      <c r="C10" s="31" t="s">
        <v>47</v>
      </c>
      <c r="D10" s="30"/>
      <c r="E10" s="30"/>
      <c r="F10" s="30"/>
      <c r="G10" s="30"/>
      <c r="H10" s="30"/>
    </row>
    <row r="11" spans="1:8" ht="13.5" x14ac:dyDescent="0.25">
      <c r="A11" s="34" t="s">
        <v>32</v>
      </c>
      <c r="B11" s="32">
        <v>43872</v>
      </c>
      <c r="C11" s="31" t="s">
        <v>48</v>
      </c>
      <c r="D11" s="30"/>
      <c r="E11" s="30"/>
      <c r="F11" s="30"/>
      <c r="G11" s="30"/>
      <c r="H11" s="30"/>
    </row>
    <row r="12" spans="1:8" ht="13.5" x14ac:dyDescent="0.25">
      <c r="A12" s="34" t="s">
        <v>33</v>
      </c>
      <c r="B12" s="32">
        <v>43875</v>
      </c>
      <c r="C12" s="31" t="s">
        <v>49</v>
      </c>
      <c r="D12" s="30"/>
      <c r="E12" s="30"/>
      <c r="F12" s="30"/>
      <c r="G12" s="30"/>
      <c r="H12" s="30"/>
    </row>
    <row r="13" spans="1:8" ht="13.5" x14ac:dyDescent="0.25">
      <c r="A13" s="34" t="s">
        <v>34</v>
      </c>
      <c r="B13" s="32">
        <v>43875</v>
      </c>
      <c r="C13" s="31" t="s">
        <v>50</v>
      </c>
      <c r="D13" s="30"/>
      <c r="E13" s="30"/>
      <c r="F13" s="30"/>
      <c r="G13" s="25"/>
      <c r="H13" s="30"/>
    </row>
    <row r="14" spans="1:8" ht="13.5" x14ac:dyDescent="0.25">
      <c r="A14" s="34" t="s">
        <v>35</v>
      </c>
      <c r="B14" s="32">
        <v>43879</v>
      </c>
      <c r="C14" s="31" t="s">
        <v>51</v>
      </c>
      <c r="D14" s="30"/>
      <c r="E14" s="30"/>
      <c r="F14" s="30"/>
      <c r="G14" s="25"/>
      <c r="H14" s="30"/>
    </row>
    <row r="15" spans="1:8" ht="13.5" x14ac:dyDescent="0.25">
      <c r="A15" s="34" t="s">
        <v>36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37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38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39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40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41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42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43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44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45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16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17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B28" sqref="B28:C2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2"/>
      <c r="D5" s="52"/>
      <c r="E5" s="52"/>
    </row>
    <row r="6" spans="1:6" ht="7.5" customHeight="1" x14ac:dyDescent="0.2">
      <c r="A6" s="35"/>
      <c r="B6" s="35"/>
      <c r="C6" s="52"/>
      <c r="D6" s="52"/>
      <c r="E6" s="52"/>
    </row>
    <row r="7" spans="1:6" x14ac:dyDescent="0.2">
      <c r="A7" s="35"/>
      <c r="B7" s="35"/>
      <c r="C7" s="52"/>
      <c r="D7" s="52"/>
      <c r="E7" s="52"/>
    </row>
    <row r="8" spans="1:6" s="1" customFormat="1" ht="57.75" customHeight="1" x14ac:dyDescent="0.2">
      <c r="A8" s="60" t="s">
        <v>64</v>
      </c>
      <c r="B8" s="60"/>
      <c r="C8" s="60"/>
      <c r="D8" s="60"/>
      <c r="E8" s="60"/>
      <c r="F8" s="60"/>
    </row>
    <row r="9" spans="1:6" ht="24.75" customHeight="1" x14ac:dyDescent="0.4">
      <c r="B9" s="2"/>
      <c r="C9" s="2"/>
      <c r="D9" s="2"/>
      <c r="E9" s="19" t="s">
        <v>8</v>
      </c>
      <c r="F9" s="9">
        <v>45083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7</v>
      </c>
      <c r="F11" s="10" t="s">
        <v>59</v>
      </c>
    </row>
    <row r="12" spans="1:6" ht="9.75" customHeight="1" x14ac:dyDescent="0.25">
      <c r="B12" s="3"/>
      <c r="E12" s="19"/>
      <c r="F12" s="12"/>
    </row>
    <row r="13" spans="1:6" ht="37.5" x14ac:dyDescent="0.3">
      <c r="B13" s="3"/>
      <c r="E13" s="33" t="s">
        <v>6</v>
      </c>
      <c r="F13" s="51" t="s">
        <v>61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58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55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1" t="s">
        <v>0</v>
      </c>
      <c r="C19" s="62"/>
      <c r="D19" s="38" t="s">
        <v>54</v>
      </c>
      <c r="E19" s="40" t="s">
        <v>52</v>
      </c>
      <c r="F19" s="43" t="s">
        <v>53</v>
      </c>
    </row>
    <row r="20" spans="2:8" s="1" customFormat="1" ht="30.75" customHeight="1" x14ac:dyDescent="0.2">
      <c r="B20" s="58" t="s">
        <v>63</v>
      </c>
      <c r="C20" s="59"/>
      <c r="D20" s="36">
        <v>10</v>
      </c>
      <c r="E20" s="41" t="s">
        <v>62</v>
      </c>
      <c r="F20" s="44">
        <f>SUM(D20*E20)</f>
        <v>900</v>
      </c>
    </row>
    <row r="21" spans="2:8" s="1" customFormat="1" ht="41.25" customHeight="1" x14ac:dyDescent="0.2">
      <c r="B21" s="58" t="s">
        <v>65</v>
      </c>
      <c r="C21" s="59"/>
      <c r="D21" s="36">
        <v>180</v>
      </c>
      <c r="E21" s="41" t="s">
        <v>60</v>
      </c>
      <c r="F21" s="44">
        <f>SUM(D21*E21)</f>
        <v>1800</v>
      </c>
    </row>
    <row r="22" spans="2:8" s="1" customFormat="1" ht="42" customHeight="1" x14ac:dyDescent="0.2">
      <c r="B22" s="58"/>
      <c r="C22" s="59"/>
      <c r="D22" s="36"/>
      <c r="E22" s="41"/>
      <c r="F22" s="44"/>
    </row>
    <row r="23" spans="2:8" s="1" customFormat="1" ht="20.100000000000001" customHeight="1" x14ac:dyDescent="0.2">
      <c r="B23" s="57"/>
      <c r="C23" s="54"/>
      <c r="D23" s="36"/>
      <c r="E23" s="41"/>
      <c r="F23" s="44"/>
      <c r="H23" s="8"/>
    </row>
    <row r="24" spans="2:8" s="1" customFormat="1" ht="35.25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57"/>
      <c r="C25" s="54"/>
      <c r="D25" s="36"/>
      <c r="E25" s="41"/>
      <c r="F25" s="44"/>
    </row>
    <row r="26" spans="2:8" s="1" customFormat="1" ht="36" customHeight="1" x14ac:dyDescent="0.2">
      <c r="B26" s="58"/>
      <c r="C26" s="59"/>
      <c r="D26" s="36"/>
      <c r="E26" s="41"/>
      <c r="F26" s="44"/>
    </row>
    <row r="27" spans="2:8" s="1" customFormat="1" ht="20.100000000000001" customHeight="1" x14ac:dyDescent="0.2">
      <c r="B27" s="57"/>
      <c r="C27" s="54"/>
      <c r="D27" s="36"/>
      <c r="E27" s="41"/>
      <c r="F27" s="44"/>
    </row>
    <row r="28" spans="2:8" s="1" customFormat="1" ht="36.75" customHeight="1" x14ac:dyDescent="0.2">
      <c r="B28" s="58"/>
      <c r="C28" s="59"/>
      <c r="D28" s="36"/>
      <c r="E28" s="41"/>
      <c r="F28" s="44"/>
    </row>
    <row r="29" spans="2:8" s="1" customFormat="1" ht="20.100000000000001" customHeight="1" x14ac:dyDescent="0.2">
      <c r="B29" s="53"/>
      <c r="C29" s="54"/>
      <c r="D29" s="36"/>
      <c r="E29" s="41"/>
      <c r="F29" s="44"/>
    </row>
    <row r="30" spans="2:8" s="1" customFormat="1" ht="20.100000000000001" customHeight="1" x14ac:dyDescent="0.2">
      <c r="B30" s="55"/>
      <c r="C30" s="56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2700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SUM(F31*F32)</f>
        <v>513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SUM(F31+F33)</f>
        <v>3213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18</v>
      </c>
      <c r="F36" s="49">
        <f>SUM(F34+F35)</f>
        <v>3214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66</v>
      </c>
      <c r="B38" s="11"/>
      <c r="C38" s="11"/>
      <c r="D38" s="37"/>
      <c r="E38" s="37"/>
    </row>
    <row r="44" spans="1:9" x14ac:dyDescent="0.2">
      <c r="I44" s="18"/>
    </row>
    <row r="51" spans="2:6" ht="21" customHeight="1" x14ac:dyDescent="0.3">
      <c r="B51" s="50" t="s">
        <v>56</v>
      </c>
      <c r="E51" s="14"/>
      <c r="F51" s="13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2023-06-06T14:07:45Z</cp:lastPrinted>
  <dcterms:created xsi:type="dcterms:W3CDTF">2000-07-27T22:20:36Z</dcterms:created>
  <dcterms:modified xsi:type="dcterms:W3CDTF">2023-06-06T14:14:15Z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